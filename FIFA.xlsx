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C3C7E13-8D26-4CD0-8624-A2366102BDA3}" xr6:coauthVersionLast="47" xr6:coauthVersionMax="47" xr10:uidLastSave="{00000000-0000-0000-0000-000000000000}"/>
  <bookViews>
    <workbookView xWindow="-108" yWindow="-108" windowWidth="24792" windowHeight="13320" activeTab="2" xr2:uid="{BB1EA6DA-86EB-4FC3-997E-079B42B60F51}"/>
  </bookViews>
  <sheets>
    <sheet name="GROUP1" sheetId="2" r:id="rId1"/>
    <sheet name="Round 32" sheetId="3" r:id="rId2"/>
    <sheet name="FIFA-2026 G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10" i="1"/>
  <c r="H11" i="1"/>
  <c r="H12" i="1"/>
  <c r="H13" i="1"/>
  <c r="H3" i="1"/>
  <c r="H4" i="1"/>
  <c r="H5" i="1"/>
  <c r="H6" i="1"/>
  <c r="H7" i="1"/>
  <c r="H8" i="1"/>
  <c r="H9" i="1"/>
  <c r="H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8" i="1"/>
  <c r="G9" i="1"/>
  <c r="G10" i="1"/>
  <c r="G11" i="1"/>
  <c r="G3" i="1"/>
  <c r="G4" i="1"/>
  <c r="G5" i="1"/>
  <c r="G6" i="1"/>
  <c r="G7" i="1"/>
  <c r="G2" i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2" i="1" a="1"/>
  <c r="E2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3" i="1" a="1"/>
  <c r="D3" i="1" s="1"/>
  <c r="D4" i="1" a="1"/>
  <c r="D4" i="1" s="1"/>
  <c r="D5" i="1" a="1"/>
  <c r="D5" i="1" s="1"/>
  <c r="D2" i="1" a="1"/>
  <c r="D2" i="1" s="1"/>
  <c r="C5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I40" i="1" l="1"/>
  <c r="I28" i="1"/>
  <c r="I16" i="1"/>
  <c r="I45" i="1"/>
  <c r="I10" i="1"/>
  <c r="I39" i="1"/>
  <c r="I27" i="1"/>
  <c r="I15" i="1"/>
  <c r="I5" i="1"/>
  <c r="I44" i="1"/>
  <c r="I32" i="1"/>
  <c r="I20" i="1"/>
  <c r="I11" i="1"/>
  <c r="I41" i="1"/>
  <c r="I29" i="1"/>
  <c r="I17" i="1"/>
  <c r="I4" i="1"/>
  <c r="I43" i="1"/>
  <c r="I31" i="1"/>
  <c r="I19" i="1"/>
  <c r="I3" i="1"/>
  <c r="I42" i="1"/>
  <c r="I30" i="1"/>
  <c r="I18" i="1"/>
  <c r="I9" i="1"/>
  <c r="I49" i="1"/>
  <c r="I37" i="1"/>
  <c r="I25" i="1"/>
  <c r="I48" i="1"/>
  <c r="I36" i="1"/>
  <c r="I24" i="1"/>
  <c r="I33" i="1"/>
  <c r="J39" i="1"/>
  <c r="J27" i="1"/>
  <c r="J15" i="1"/>
  <c r="I47" i="1"/>
  <c r="I35" i="1"/>
  <c r="I23" i="1"/>
  <c r="I21" i="1"/>
  <c r="I8" i="1"/>
  <c r="J43" i="1"/>
  <c r="J19" i="1"/>
  <c r="I13" i="1"/>
  <c r="I14" i="1"/>
  <c r="J26" i="1"/>
  <c r="J31" i="1"/>
  <c r="J7" i="1"/>
  <c r="J3" i="1"/>
  <c r="I12" i="1"/>
  <c r="I38" i="1"/>
  <c r="I26" i="1"/>
  <c r="J38" i="1"/>
  <c r="J14" i="1"/>
  <c r="J49" i="1"/>
  <c r="J37" i="1"/>
  <c r="J25" i="1"/>
  <c r="J13" i="1"/>
  <c r="I7" i="1"/>
  <c r="I46" i="1"/>
  <c r="I34" i="1"/>
  <c r="I22" i="1"/>
  <c r="I6" i="1"/>
  <c r="J36" i="1"/>
  <c r="J12" i="1"/>
  <c r="J47" i="1"/>
  <c r="J35" i="1"/>
  <c r="J23" i="1"/>
  <c r="J11" i="1"/>
  <c r="J48" i="1"/>
  <c r="J24" i="1"/>
  <c r="J46" i="1"/>
  <c r="J34" i="1"/>
  <c r="J22" i="1"/>
  <c r="J10" i="1"/>
  <c r="J45" i="1"/>
  <c r="J9" i="1"/>
  <c r="J30" i="1"/>
  <c r="J18" i="1"/>
  <c r="J6" i="1"/>
  <c r="J33" i="1"/>
  <c r="J42" i="1"/>
  <c r="J44" i="1"/>
  <c r="J32" i="1"/>
  <c r="J20" i="1"/>
  <c r="J8" i="1"/>
  <c r="J41" i="1"/>
  <c r="J29" i="1"/>
  <c r="J17" i="1"/>
  <c r="J5" i="1"/>
  <c r="J21" i="1"/>
  <c r="J40" i="1"/>
  <c r="J28" i="1"/>
  <c r="J16" i="1"/>
  <c r="J4" i="1"/>
  <c r="F29" i="1"/>
  <c r="F17" i="1"/>
  <c r="F41" i="1"/>
  <c r="F40" i="1"/>
  <c r="F16" i="1"/>
  <c r="F27" i="1"/>
  <c r="F15" i="1"/>
  <c r="F39" i="1"/>
  <c r="F28" i="1"/>
  <c r="F49" i="1"/>
  <c r="F37" i="1"/>
  <c r="F48" i="1"/>
  <c r="F36" i="1"/>
  <c r="F47" i="1"/>
  <c r="F38" i="1"/>
  <c r="F26" i="1"/>
  <c r="F14" i="1"/>
  <c r="F3" i="1"/>
  <c r="F34" i="1"/>
  <c r="F4" i="1"/>
  <c r="F25" i="1"/>
  <c r="F35" i="1"/>
  <c r="F46" i="1"/>
  <c r="F45" i="1"/>
  <c r="F33" i="1"/>
  <c r="F5" i="1"/>
  <c r="F12" i="1"/>
  <c r="F23" i="1"/>
  <c r="F22" i="1"/>
  <c r="F10" i="1"/>
  <c r="F9" i="1"/>
  <c r="F44" i="1"/>
  <c r="F13" i="1"/>
  <c r="F11" i="1"/>
  <c r="F21" i="1"/>
  <c r="F20" i="1"/>
  <c r="F43" i="1"/>
  <c r="F19" i="1"/>
  <c r="F7" i="1"/>
  <c r="F24" i="1"/>
  <c r="F8" i="1"/>
  <c r="F31" i="1"/>
  <c r="F42" i="1"/>
  <c r="F30" i="1"/>
  <c r="F18" i="1"/>
  <c r="F6" i="1"/>
  <c r="F32" i="1"/>
  <c r="F2" i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<sst xmlns="http://schemas.openxmlformats.org/spreadsheetml/2006/main" count="408" uniqueCount="103">
  <si>
    <t>Team</t>
  </si>
  <si>
    <t>MP</t>
  </si>
  <si>
    <t>W</t>
  </si>
  <si>
    <t>D</t>
  </si>
  <si>
    <t>L</t>
  </si>
  <si>
    <t>GF</t>
  </si>
  <si>
    <t>GA</t>
  </si>
  <si>
    <t>GD</t>
  </si>
  <si>
    <t>Pts</t>
  </si>
  <si>
    <t>Mexico</t>
  </si>
  <si>
    <t>South Africa</t>
  </si>
  <si>
    <t>South Korea</t>
  </si>
  <si>
    <t>Czech Republic</t>
  </si>
  <si>
    <t>MATCH</t>
  </si>
  <si>
    <t>DATE</t>
  </si>
  <si>
    <t>GROUP</t>
  </si>
  <si>
    <t>HOME TEAM</t>
  </si>
  <si>
    <t>AWAY TEAM</t>
  </si>
  <si>
    <t>HOME GOALS</t>
  </si>
  <si>
    <t>AWAY GOALS</t>
  </si>
  <si>
    <t>11 Jun 2026</t>
  </si>
  <si>
    <t>Group A</t>
  </si>
  <si>
    <t>18 Jun 2026</t>
  </si>
  <si>
    <t>24 Jun 2026</t>
  </si>
  <si>
    <t>12 Jun 2026</t>
  </si>
  <si>
    <t>Group B</t>
  </si>
  <si>
    <t>Canada</t>
  </si>
  <si>
    <t>Bosnia &amp; Herz.</t>
  </si>
  <si>
    <t>13 Jun 2026</t>
  </si>
  <si>
    <t>Switzerland</t>
  </si>
  <si>
    <t>Qatar</t>
  </si>
  <si>
    <t>Group C</t>
  </si>
  <si>
    <t>Brazil</t>
  </si>
  <si>
    <t>Morocco</t>
  </si>
  <si>
    <t>Scotland</t>
  </si>
  <si>
    <t>Haiti</t>
  </si>
  <si>
    <t>19 Jun 2026</t>
  </si>
  <si>
    <t>Group D</t>
  </si>
  <si>
    <t>USA</t>
  </si>
  <si>
    <t>Paraguay</t>
  </si>
  <si>
    <t>Australia</t>
  </si>
  <si>
    <t>Türkiye</t>
  </si>
  <si>
    <t>25 Jun 2026</t>
  </si>
  <si>
    <t>14 Jun 2026</t>
  </si>
  <si>
    <t>Group E</t>
  </si>
  <si>
    <t>Germany</t>
  </si>
  <si>
    <t>Curaçao</t>
  </si>
  <si>
    <t>Ivory Coast</t>
  </si>
  <si>
    <t>Ecuador</t>
  </si>
  <si>
    <t>20 Jun 2026</t>
  </si>
  <si>
    <t>Group F</t>
  </si>
  <si>
    <t>Netherlands</t>
  </si>
  <si>
    <t>Japan</t>
  </si>
  <si>
    <t>Sweden</t>
  </si>
  <si>
    <t>Tunisia</t>
  </si>
  <si>
    <t>15 Jun 2026</t>
  </si>
  <si>
    <t>Group G</t>
  </si>
  <si>
    <t>Belgium</t>
  </si>
  <si>
    <t>Egypt</t>
  </si>
  <si>
    <t>Iran</t>
  </si>
  <si>
    <t>New Zealand</t>
  </si>
  <si>
    <t>21 Jun 2026</t>
  </si>
  <si>
    <t>26 Jun 2026</t>
  </si>
  <si>
    <t>Group H</t>
  </si>
  <si>
    <t>Spain</t>
  </si>
  <si>
    <t>Cape Verde</t>
  </si>
  <si>
    <t>Saudi Arabia</t>
  </si>
  <si>
    <t>Uruguay</t>
  </si>
  <si>
    <t>16 Jun 2026</t>
  </si>
  <si>
    <t>Group I</t>
  </si>
  <si>
    <t>France</t>
  </si>
  <si>
    <t>Senegal</t>
  </si>
  <si>
    <t>Norway</t>
  </si>
  <si>
    <t>Iraq</t>
  </si>
  <si>
    <t>22 Jun 2026</t>
  </si>
  <si>
    <t>Group J</t>
  </si>
  <si>
    <t>Argentina</t>
  </si>
  <si>
    <t>Algeria</t>
  </si>
  <si>
    <t>Austria</t>
  </si>
  <si>
    <t>Jordan</t>
  </si>
  <si>
    <t>27 Jun 2026</t>
  </si>
  <si>
    <t>17 Jun 2026</t>
  </si>
  <si>
    <t>Group K</t>
  </si>
  <si>
    <t>Portugal</t>
  </si>
  <si>
    <t>DR Congo</t>
  </si>
  <si>
    <t>Colombia</t>
  </si>
  <si>
    <t>Uzbekistan</t>
  </si>
  <si>
    <t>23 Jun 2026</t>
  </si>
  <si>
    <t>Group L</t>
  </si>
  <si>
    <t>England</t>
  </si>
  <si>
    <t>Croatia</t>
  </si>
  <si>
    <t>Ghana</t>
  </si>
  <si>
    <t>Panama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</si>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</sst>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548580</xdr:colOff>
      <xdr:row>6</xdr:row>
      <xdr:rowOff>121680</xdr:rowOff>
    </xdr:from>
    <xdr:to>
      <xdr:col>8</xdr:col>
      <xdr:colOff>548940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548580</xdr:colOff>
      <xdr:row>14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AD34453-3046-46C0-9089-EE6E6EF29E25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22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2FE4899-55B9-4E5D-B1A1-D7628F250994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30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12AAE40-0B8A-4391-BDB4-5AEB0D099887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38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5BC599F-5DF8-4A44-8923-FAD043AE5534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548580</xdr:colOff>
      <xdr:row>46</xdr:row>
      <xdr:rowOff>121680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0A18717-3E03-4378-AF60-8FEE3387DF3A}"/>
                </a:ext>
              </a:extLst>
            </xdr14:cNvPr>
            <xdr14:cNvContentPartPr/>
          </xdr14:nvContentPartPr>
          <xdr14:nvPr macro=""/>
          <xdr14:xfrm>
            <a:off x="7459920" y="25905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C9539A-D6C5-8E1A-3E5E-A042F8ED6B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42280" y="25725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1:39:48.53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59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1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2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04:22:45.6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9830,'0'0'0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9B9908-9B66-4474-8DC9-5BE216207289}">
  <we:reference id="wa200004935" version="6.1.0.0" store="en-GB" storeType="OMEX"/>
  <we:alternateReferences>
    <we:reference id="WA200004935" version="6.1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FA40186-0FAC-41D1-A548-3C0D5B76493A}">
  <we:reference id="wa200000113" version="1.0.0.0" store="en-GB" storeType="OMEX"/>
  <we:alternateReferences>
    <we:reference id="WA200000113" version="1.0.0.0" store="WA200000113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7C48-8229-4FB4-8B7A-ED153A6D01FB}">
  <dimension ref="A1:G75"/>
  <sheetViews>
    <sheetView zoomScale="80" zoomScaleNormal="80" workbookViewId="0">
      <selection sqref="A1:G1"/>
    </sheetView>
  </sheetViews>
  <sheetFormatPr defaultRowHeight="14.4" x14ac:dyDescent="0.3"/>
  <cols>
    <col min="1" max="1" width="11.77734375" customWidth="1"/>
    <col min="2" max="2" width="19.44140625" customWidth="1"/>
    <col min="3" max="3" width="14" bestFit="1" customWidth="1"/>
    <col min="4" max="7" width="19.44140625" customWidth="1"/>
  </cols>
  <sheetData>
    <row r="1" spans="1:7" ht="43.2" customHeight="1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</row>
    <row r="2" spans="1:7" ht="23.4" x14ac:dyDescent="0.45">
      <c r="A2" s="7">
        <v>1</v>
      </c>
      <c r="B2" s="4" t="s">
        <v>20</v>
      </c>
      <c r="C2" s="4" t="s">
        <v>21</v>
      </c>
      <c r="D2" s="4" t="s">
        <v>9</v>
      </c>
      <c r="E2" s="4" t="s">
        <v>10</v>
      </c>
      <c r="F2" s="4">
        <v>2</v>
      </c>
      <c r="G2" s="4">
        <v>0</v>
      </c>
    </row>
    <row r="3" spans="1:7" ht="23.4" x14ac:dyDescent="0.45">
      <c r="A3" s="7">
        <v>2</v>
      </c>
      <c r="B3" s="4" t="s">
        <v>20</v>
      </c>
      <c r="C3" s="4" t="s">
        <v>21</v>
      </c>
      <c r="D3" s="4" t="s">
        <v>11</v>
      </c>
      <c r="E3" s="4" t="s">
        <v>12</v>
      </c>
      <c r="F3" s="4">
        <v>2</v>
      </c>
      <c r="G3" s="4">
        <v>1</v>
      </c>
    </row>
    <row r="4" spans="1:7" ht="23.4" x14ac:dyDescent="0.45">
      <c r="A4" s="7">
        <v>3</v>
      </c>
      <c r="B4" s="4" t="s">
        <v>24</v>
      </c>
      <c r="C4" s="4" t="s">
        <v>25</v>
      </c>
      <c r="D4" s="4" t="s">
        <v>26</v>
      </c>
      <c r="E4" s="4" t="s">
        <v>27</v>
      </c>
      <c r="F4" s="4">
        <v>1</v>
      </c>
      <c r="G4" s="4">
        <v>1</v>
      </c>
    </row>
    <row r="5" spans="1:7" ht="23.4" x14ac:dyDescent="0.45">
      <c r="A5" s="7">
        <v>4</v>
      </c>
      <c r="B5" s="4" t="s">
        <v>24</v>
      </c>
      <c r="C5" s="4" t="s">
        <v>37</v>
      </c>
      <c r="D5" s="4" t="s">
        <v>38</v>
      </c>
      <c r="E5" s="4" t="s">
        <v>39</v>
      </c>
      <c r="F5" s="4">
        <v>4</v>
      </c>
      <c r="G5" s="4">
        <v>1</v>
      </c>
    </row>
    <row r="6" spans="1:7" ht="23.4" x14ac:dyDescent="0.45">
      <c r="A6" s="7">
        <v>5</v>
      </c>
      <c r="B6" s="4" t="s">
        <v>28</v>
      </c>
      <c r="C6" s="4" t="s">
        <v>25</v>
      </c>
      <c r="D6" s="4" t="s">
        <v>29</v>
      </c>
      <c r="E6" s="4" t="s">
        <v>30</v>
      </c>
      <c r="F6" s="4">
        <v>1</v>
      </c>
      <c r="G6" s="4">
        <v>1</v>
      </c>
    </row>
    <row r="7" spans="1:7" ht="23.4" x14ac:dyDescent="0.45">
      <c r="A7" s="7">
        <v>6</v>
      </c>
      <c r="B7" s="4" t="s">
        <v>28</v>
      </c>
      <c r="C7" s="4" t="s">
        <v>31</v>
      </c>
      <c r="D7" s="4" t="s">
        <v>32</v>
      </c>
      <c r="E7" s="4" t="s">
        <v>33</v>
      </c>
      <c r="F7" s="4">
        <v>1</v>
      </c>
      <c r="G7" s="4">
        <v>1</v>
      </c>
    </row>
    <row r="8" spans="1:7" ht="23.4" x14ac:dyDescent="0.45">
      <c r="A8" s="7">
        <v>7</v>
      </c>
      <c r="B8" s="4" t="s">
        <v>28</v>
      </c>
      <c r="C8" s="4" t="s">
        <v>31</v>
      </c>
      <c r="D8" s="4" t="s">
        <v>34</v>
      </c>
      <c r="E8" s="4" t="s">
        <v>35</v>
      </c>
      <c r="F8" s="4">
        <v>1</v>
      </c>
      <c r="G8" s="4">
        <v>0</v>
      </c>
    </row>
    <row r="9" spans="1:7" ht="23.4" x14ac:dyDescent="0.45">
      <c r="A9" s="7">
        <v>8</v>
      </c>
      <c r="B9" s="4" t="s">
        <v>28</v>
      </c>
      <c r="C9" s="4" t="s">
        <v>37</v>
      </c>
      <c r="D9" s="4" t="s">
        <v>40</v>
      </c>
      <c r="E9" s="4" t="s">
        <v>41</v>
      </c>
      <c r="F9" s="4">
        <v>2</v>
      </c>
      <c r="G9" s="4">
        <v>0</v>
      </c>
    </row>
    <row r="10" spans="1:7" ht="23.4" x14ac:dyDescent="0.45">
      <c r="A10" s="7">
        <v>9</v>
      </c>
      <c r="B10" s="4" t="s">
        <v>43</v>
      </c>
      <c r="C10" s="4" t="s">
        <v>44</v>
      </c>
      <c r="D10" s="4" t="s">
        <v>45</v>
      </c>
      <c r="E10" s="4" t="s">
        <v>46</v>
      </c>
      <c r="F10" s="4">
        <v>7</v>
      </c>
      <c r="G10" s="4">
        <v>1</v>
      </c>
    </row>
    <row r="11" spans="1:7" ht="23.4" x14ac:dyDescent="0.45">
      <c r="A11" s="7">
        <v>10</v>
      </c>
      <c r="B11" s="4" t="s">
        <v>43</v>
      </c>
      <c r="C11" s="4" t="s">
        <v>44</v>
      </c>
      <c r="D11" s="4" t="s">
        <v>47</v>
      </c>
      <c r="E11" s="4" t="s">
        <v>48</v>
      </c>
      <c r="F11" s="4">
        <v>1</v>
      </c>
      <c r="G11" s="4">
        <v>0</v>
      </c>
    </row>
    <row r="12" spans="1:7" ht="23.4" x14ac:dyDescent="0.45">
      <c r="A12" s="7">
        <v>11</v>
      </c>
      <c r="B12" s="4" t="s">
        <v>43</v>
      </c>
      <c r="C12" s="4" t="s">
        <v>50</v>
      </c>
      <c r="D12" s="4" t="s">
        <v>51</v>
      </c>
      <c r="E12" s="4" t="s">
        <v>52</v>
      </c>
      <c r="F12" s="4">
        <v>2</v>
      </c>
      <c r="G12" s="4">
        <v>2</v>
      </c>
    </row>
    <row r="13" spans="1:7" ht="23.4" x14ac:dyDescent="0.45">
      <c r="A13" s="7">
        <v>12</v>
      </c>
      <c r="B13" s="4" t="s">
        <v>43</v>
      </c>
      <c r="C13" s="4" t="s">
        <v>50</v>
      </c>
      <c r="D13" s="4" t="s">
        <v>53</v>
      </c>
      <c r="E13" s="4" t="s">
        <v>54</v>
      </c>
      <c r="F13" s="4">
        <v>5</v>
      </c>
      <c r="G13" s="4">
        <v>1</v>
      </c>
    </row>
    <row r="14" spans="1:7" ht="23.4" x14ac:dyDescent="0.45">
      <c r="A14" s="7">
        <v>13</v>
      </c>
      <c r="B14" s="4" t="s">
        <v>55</v>
      </c>
      <c r="C14" s="4" t="s">
        <v>56</v>
      </c>
      <c r="D14" s="4" t="s">
        <v>57</v>
      </c>
      <c r="E14" s="4" t="s">
        <v>58</v>
      </c>
      <c r="F14" s="4">
        <v>1</v>
      </c>
      <c r="G14" s="4">
        <v>1</v>
      </c>
    </row>
    <row r="15" spans="1:7" ht="23.4" x14ac:dyDescent="0.45">
      <c r="A15" s="7">
        <v>14</v>
      </c>
      <c r="B15" s="4" t="s">
        <v>55</v>
      </c>
      <c r="C15" s="4" t="s">
        <v>56</v>
      </c>
      <c r="D15" s="4" t="s">
        <v>59</v>
      </c>
      <c r="E15" s="4" t="s">
        <v>60</v>
      </c>
      <c r="F15" s="4">
        <v>2</v>
      </c>
      <c r="G15" s="4">
        <v>2</v>
      </c>
    </row>
    <row r="16" spans="1:7" ht="23.4" x14ac:dyDescent="0.45">
      <c r="A16" s="7">
        <v>15</v>
      </c>
      <c r="B16" s="4" t="s">
        <v>55</v>
      </c>
      <c r="C16" s="4" t="s">
        <v>63</v>
      </c>
      <c r="D16" s="4" t="s">
        <v>64</v>
      </c>
      <c r="E16" s="4" t="s">
        <v>65</v>
      </c>
      <c r="F16" s="4">
        <v>0</v>
      </c>
      <c r="G16" s="4">
        <v>0</v>
      </c>
    </row>
    <row r="17" spans="1:7" ht="23.4" x14ac:dyDescent="0.45">
      <c r="A17" s="7">
        <v>16</v>
      </c>
      <c r="B17" s="4" t="s">
        <v>55</v>
      </c>
      <c r="C17" s="4" t="s">
        <v>63</v>
      </c>
      <c r="D17" s="4" t="s">
        <v>66</v>
      </c>
      <c r="E17" s="4" t="s">
        <v>67</v>
      </c>
      <c r="F17" s="4">
        <v>1</v>
      </c>
      <c r="G17" s="4">
        <v>1</v>
      </c>
    </row>
    <row r="18" spans="1:7" ht="23.4" x14ac:dyDescent="0.45">
      <c r="A18" s="7">
        <v>17</v>
      </c>
      <c r="B18" s="4" t="s">
        <v>68</v>
      </c>
      <c r="C18" s="4" t="s">
        <v>69</v>
      </c>
      <c r="D18" s="4" t="s">
        <v>70</v>
      </c>
      <c r="E18" s="4" t="s">
        <v>71</v>
      </c>
      <c r="F18" s="4">
        <v>3</v>
      </c>
      <c r="G18" s="4">
        <v>1</v>
      </c>
    </row>
    <row r="19" spans="1:7" ht="23.4" x14ac:dyDescent="0.45">
      <c r="A19" s="7">
        <v>18</v>
      </c>
      <c r="B19" s="4" t="s">
        <v>68</v>
      </c>
      <c r="C19" s="4" t="s">
        <v>69</v>
      </c>
      <c r="D19" s="4" t="s">
        <v>72</v>
      </c>
      <c r="E19" s="4" t="s">
        <v>73</v>
      </c>
      <c r="F19" s="4">
        <v>4</v>
      </c>
      <c r="G19" s="4">
        <v>1</v>
      </c>
    </row>
    <row r="20" spans="1:7" ht="23.4" x14ac:dyDescent="0.45">
      <c r="A20" s="7">
        <v>19</v>
      </c>
      <c r="B20" s="4" t="s">
        <v>68</v>
      </c>
      <c r="C20" s="4" t="s">
        <v>75</v>
      </c>
      <c r="D20" s="4" t="s">
        <v>76</v>
      </c>
      <c r="E20" s="4" t="s">
        <v>77</v>
      </c>
      <c r="F20" s="4">
        <v>3</v>
      </c>
      <c r="G20" s="4">
        <v>0</v>
      </c>
    </row>
    <row r="21" spans="1:7" ht="23.4" x14ac:dyDescent="0.45">
      <c r="A21" s="7">
        <v>20</v>
      </c>
      <c r="B21" s="4" t="s">
        <v>68</v>
      </c>
      <c r="C21" s="4" t="s">
        <v>75</v>
      </c>
      <c r="D21" s="4" t="s">
        <v>78</v>
      </c>
      <c r="E21" s="4" t="s">
        <v>79</v>
      </c>
      <c r="F21" s="4">
        <v>3</v>
      </c>
      <c r="G21" s="4">
        <v>1</v>
      </c>
    </row>
    <row r="22" spans="1:7" ht="23.4" x14ac:dyDescent="0.45">
      <c r="A22" s="7">
        <v>21</v>
      </c>
      <c r="B22" s="4" t="s">
        <v>81</v>
      </c>
      <c r="C22" s="4" t="s">
        <v>82</v>
      </c>
      <c r="D22" s="4" t="s">
        <v>83</v>
      </c>
      <c r="E22" s="4" t="s">
        <v>84</v>
      </c>
      <c r="F22" s="4">
        <v>1</v>
      </c>
      <c r="G22" s="4">
        <v>1</v>
      </c>
    </row>
    <row r="23" spans="1:7" ht="23.4" x14ac:dyDescent="0.45">
      <c r="A23" s="7">
        <v>22</v>
      </c>
      <c r="B23" s="4" t="s">
        <v>81</v>
      </c>
      <c r="C23" s="4" t="s">
        <v>82</v>
      </c>
      <c r="D23" s="4" t="s">
        <v>85</v>
      </c>
      <c r="E23" s="4" t="s">
        <v>86</v>
      </c>
      <c r="F23" s="4">
        <v>3</v>
      </c>
      <c r="G23" s="4">
        <v>1</v>
      </c>
    </row>
    <row r="24" spans="1:7" ht="23.4" x14ac:dyDescent="0.45">
      <c r="A24" s="7">
        <v>23</v>
      </c>
      <c r="B24" s="4" t="s">
        <v>81</v>
      </c>
      <c r="C24" s="4" t="s">
        <v>88</v>
      </c>
      <c r="D24" s="4" t="s">
        <v>89</v>
      </c>
      <c r="E24" s="4" t="s">
        <v>90</v>
      </c>
      <c r="F24" s="4">
        <v>4</v>
      </c>
      <c r="G24" s="4">
        <v>2</v>
      </c>
    </row>
    <row r="25" spans="1:7" ht="23.4" x14ac:dyDescent="0.45">
      <c r="A25" s="7">
        <v>24</v>
      </c>
      <c r="B25" s="4" t="s">
        <v>81</v>
      </c>
      <c r="C25" s="4" t="s">
        <v>88</v>
      </c>
      <c r="D25" s="4" t="s">
        <v>91</v>
      </c>
      <c r="E25" s="4" t="s">
        <v>92</v>
      </c>
      <c r="F25" s="4">
        <v>1</v>
      </c>
      <c r="G25" s="4">
        <v>0</v>
      </c>
    </row>
    <row r="26" spans="1:7" ht="23.4" x14ac:dyDescent="0.45">
      <c r="A26" s="7">
        <v>25</v>
      </c>
      <c r="B26" s="4" t="s">
        <v>22</v>
      </c>
      <c r="C26" s="4" t="s">
        <v>21</v>
      </c>
      <c r="D26" s="4" t="s">
        <v>12</v>
      </c>
      <c r="E26" s="4" t="s">
        <v>10</v>
      </c>
      <c r="F26" s="4">
        <v>1</v>
      </c>
      <c r="G26" s="4">
        <v>1</v>
      </c>
    </row>
    <row r="27" spans="1:7" ht="23.4" x14ac:dyDescent="0.45">
      <c r="A27" s="7">
        <v>26</v>
      </c>
      <c r="B27" s="4" t="s">
        <v>22</v>
      </c>
      <c r="C27" s="4" t="s">
        <v>21</v>
      </c>
      <c r="D27" s="4" t="s">
        <v>9</v>
      </c>
      <c r="E27" s="4" t="s">
        <v>11</v>
      </c>
      <c r="F27" s="4">
        <v>1</v>
      </c>
      <c r="G27" s="4">
        <v>0</v>
      </c>
    </row>
    <row r="28" spans="1:7" ht="23.4" x14ac:dyDescent="0.45">
      <c r="A28" s="7">
        <v>27</v>
      </c>
      <c r="B28" s="4" t="s">
        <v>22</v>
      </c>
      <c r="C28" s="4" t="s">
        <v>25</v>
      </c>
      <c r="D28" s="4" t="s">
        <v>29</v>
      </c>
      <c r="E28" s="4" t="s">
        <v>27</v>
      </c>
      <c r="F28" s="4">
        <v>4</v>
      </c>
      <c r="G28" s="4">
        <v>1</v>
      </c>
    </row>
    <row r="29" spans="1:7" ht="23.4" x14ac:dyDescent="0.45">
      <c r="A29" s="7">
        <v>28</v>
      </c>
      <c r="B29" s="4" t="s">
        <v>22</v>
      </c>
      <c r="C29" s="4" t="s">
        <v>25</v>
      </c>
      <c r="D29" s="4" t="s">
        <v>26</v>
      </c>
      <c r="E29" s="4" t="s">
        <v>30</v>
      </c>
      <c r="F29" s="4">
        <v>6</v>
      </c>
      <c r="G29" s="4">
        <v>0</v>
      </c>
    </row>
    <row r="30" spans="1:7" ht="23.4" x14ac:dyDescent="0.45">
      <c r="A30" s="7">
        <v>29</v>
      </c>
      <c r="B30" s="4" t="s">
        <v>36</v>
      </c>
      <c r="C30" s="4" t="s">
        <v>31</v>
      </c>
      <c r="D30" s="4" t="s">
        <v>34</v>
      </c>
      <c r="E30" s="4" t="s">
        <v>33</v>
      </c>
      <c r="F30" s="4">
        <v>0</v>
      </c>
      <c r="G30" s="4">
        <v>1</v>
      </c>
    </row>
    <row r="31" spans="1:7" ht="23.4" x14ac:dyDescent="0.45">
      <c r="A31" s="7">
        <v>30</v>
      </c>
      <c r="B31" s="4" t="s">
        <v>36</v>
      </c>
      <c r="C31" s="4" t="s">
        <v>31</v>
      </c>
      <c r="D31" s="4" t="s">
        <v>32</v>
      </c>
      <c r="E31" s="4" t="s">
        <v>35</v>
      </c>
      <c r="F31" s="4">
        <v>3</v>
      </c>
      <c r="G31" s="4">
        <v>0</v>
      </c>
    </row>
    <row r="32" spans="1:7" ht="23.4" x14ac:dyDescent="0.45">
      <c r="A32" s="7">
        <v>31</v>
      </c>
      <c r="B32" s="4" t="s">
        <v>36</v>
      </c>
      <c r="C32" s="4" t="s">
        <v>37</v>
      </c>
      <c r="D32" s="4" t="s">
        <v>38</v>
      </c>
      <c r="E32" s="4" t="s">
        <v>40</v>
      </c>
      <c r="F32" s="4">
        <v>2</v>
      </c>
      <c r="G32" s="4">
        <v>0</v>
      </c>
    </row>
    <row r="33" spans="1:7" ht="23.4" x14ac:dyDescent="0.45">
      <c r="A33" s="7">
        <v>32</v>
      </c>
      <c r="B33" s="4" t="s">
        <v>36</v>
      </c>
      <c r="C33" s="4" t="s">
        <v>37</v>
      </c>
      <c r="D33" s="4" t="s">
        <v>41</v>
      </c>
      <c r="E33" s="4" t="s">
        <v>39</v>
      </c>
      <c r="F33" s="4">
        <v>0</v>
      </c>
      <c r="G33" s="4">
        <v>1</v>
      </c>
    </row>
    <row r="34" spans="1:7" ht="23.4" x14ac:dyDescent="0.45">
      <c r="A34" s="7">
        <v>33</v>
      </c>
      <c r="B34" s="4" t="s">
        <v>49</v>
      </c>
      <c r="C34" s="4" t="s">
        <v>44</v>
      </c>
      <c r="D34" s="4" t="s">
        <v>45</v>
      </c>
      <c r="E34" s="4" t="s">
        <v>47</v>
      </c>
      <c r="F34" s="4">
        <v>2</v>
      </c>
      <c r="G34" s="4">
        <v>1</v>
      </c>
    </row>
    <row r="35" spans="1:7" ht="23.4" x14ac:dyDescent="0.45">
      <c r="A35" s="7">
        <v>34</v>
      </c>
      <c r="B35" s="4" t="s">
        <v>49</v>
      </c>
      <c r="C35" s="4" t="s">
        <v>44</v>
      </c>
      <c r="D35" s="4" t="s">
        <v>48</v>
      </c>
      <c r="E35" s="4" t="s">
        <v>46</v>
      </c>
      <c r="F35" s="4">
        <v>0</v>
      </c>
      <c r="G35" s="4">
        <v>0</v>
      </c>
    </row>
    <row r="36" spans="1:7" ht="23.4" x14ac:dyDescent="0.45">
      <c r="A36" s="7">
        <v>35</v>
      </c>
      <c r="B36" s="4" t="s">
        <v>49</v>
      </c>
      <c r="C36" s="4" t="s">
        <v>50</v>
      </c>
      <c r="D36" s="4" t="s">
        <v>51</v>
      </c>
      <c r="E36" s="4" t="s">
        <v>53</v>
      </c>
      <c r="F36" s="4">
        <v>5</v>
      </c>
      <c r="G36" s="4">
        <v>1</v>
      </c>
    </row>
    <row r="37" spans="1:7" ht="23.4" x14ac:dyDescent="0.45">
      <c r="A37" s="7">
        <v>36</v>
      </c>
      <c r="B37" s="4" t="s">
        <v>49</v>
      </c>
      <c r="C37" s="4" t="s">
        <v>50</v>
      </c>
      <c r="D37" s="4" t="s">
        <v>52</v>
      </c>
      <c r="E37" s="4" t="s">
        <v>54</v>
      </c>
      <c r="F37" s="4">
        <v>4</v>
      </c>
      <c r="G37" s="4">
        <v>0</v>
      </c>
    </row>
    <row r="38" spans="1:7" ht="23.4" x14ac:dyDescent="0.45">
      <c r="A38" s="7">
        <v>37</v>
      </c>
      <c r="B38" s="4" t="s">
        <v>61</v>
      </c>
      <c r="C38" s="4" t="s">
        <v>56</v>
      </c>
      <c r="D38" s="4" t="s">
        <v>57</v>
      </c>
      <c r="E38" s="4" t="s">
        <v>59</v>
      </c>
      <c r="F38" s="4">
        <v>0</v>
      </c>
      <c r="G38" s="4">
        <v>0</v>
      </c>
    </row>
    <row r="39" spans="1:7" ht="23.4" x14ac:dyDescent="0.45">
      <c r="A39" s="7">
        <v>38</v>
      </c>
      <c r="B39" s="4" t="s">
        <v>61</v>
      </c>
      <c r="C39" s="4" t="s">
        <v>56</v>
      </c>
      <c r="D39" s="4" t="s">
        <v>58</v>
      </c>
      <c r="E39" s="4" t="s">
        <v>60</v>
      </c>
      <c r="F39" s="4">
        <v>3</v>
      </c>
      <c r="G39" s="4">
        <v>1</v>
      </c>
    </row>
    <row r="40" spans="1:7" ht="23.4" x14ac:dyDescent="0.45">
      <c r="A40" s="7">
        <v>39</v>
      </c>
      <c r="B40" s="4" t="s">
        <v>61</v>
      </c>
      <c r="C40" s="4" t="s">
        <v>63</v>
      </c>
      <c r="D40" s="4" t="s">
        <v>64</v>
      </c>
      <c r="E40" s="4" t="s">
        <v>66</v>
      </c>
      <c r="F40" s="4">
        <v>4</v>
      </c>
      <c r="G40" s="4">
        <v>0</v>
      </c>
    </row>
    <row r="41" spans="1:7" ht="23.4" x14ac:dyDescent="0.45">
      <c r="A41" s="7">
        <v>40</v>
      </c>
      <c r="B41" s="4" t="s">
        <v>61</v>
      </c>
      <c r="C41" s="4" t="s">
        <v>63</v>
      </c>
      <c r="D41" s="4" t="s">
        <v>67</v>
      </c>
      <c r="E41" s="4" t="s">
        <v>65</v>
      </c>
      <c r="F41" s="4">
        <v>2</v>
      </c>
      <c r="G41" s="4">
        <v>2</v>
      </c>
    </row>
    <row r="42" spans="1:7" ht="23.4" x14ac:dyDescent="0.45">
      <c r="A42" s="7">
        <v>41</v>
      </c>
      <c r="B42" s="4" t="s">
        <v>74</v>
      </c>
      <c r="C42" s="4" t="s">
        <v>69</v>
      </c>
      <c r="D42" s="4" t="s">
        <v>70</v>
      </c>
      <c r="E42" s="4" t="s">
        <v>73</v>
      </c>
      <c r="F42" s="4">
        <v>3</v>
      </c>
      <c r="G42" s="4">
        <v>0</v>
      </c>
    </row>
    <row r="43" spans="1:7" ht="23.4" x14ac:dyDescent="0.45">
      <c r="A43" s="7">
        <v>42</v>
      </c>
      <c r="B43" s="4" t="s">
        <v>74</v>
      </c>
      <c r="C43" s="4" t="s">
        <v>69</v>
      </c>
      <c r="D43" s="4" t="s">
        <v>72</v>
      </c>
      <c r="E43" s="4" t="s">
        <v>71</v>
      </c>
      <c r="F43" s="4">
        <v>3</v>
      </c>
      <c r="G43" s="4">
        <v>2</v>
      </c>
    </row>
    <row r="44" spans="1:7" ht="23.4" x14ac:dyDescent="0.45">
      <c r="A44" s="7">
        <v>43</v>
      </c>
      <c r="B44" s="4" t="s">
        <v>74</v>
      </c>
      <c r="C44" s="4" t="s">
        <v>75</v>
      </c>
      <c r="D44" s="4" t="s">
        <v>76</v>
      </c>
      <c r="E44" s="4" t="s">
        <v>78</v>
      </c>
      <c r="F44" s="4">
        <v>2</v>
      </c>
      <c r="G44" s="4">
        <v>0</v>
      </c>
    </row>
    <row r="45" spans="1:7" ht="23.4" x14ac:dyDescent="0.45">
      <c r="A45" s="7">
        <v>44</v>
      </c>
      <c r="B45" s="4" t="s">
        <v>74</v>
      </c>
      <c r="C45" s="4" t="s">
        <v>75</v>
      </c>
      <c r="D45" s="4" t="s">
        <v>79</v>
      </c>
      <c r="E45" s="4" t="s">
        <v>77</v>
      </c>
      <c r="F45" s="4">
        <v>1</v>
      </c>
      <c r="G45" s="4">
        <v>2</v>
      </c>
    </row>
    <row r="46" spans="1:7" ht="23.4" x14ac:dyDescent="0.45">
      <c r="A46" s="7">
        <v>45</v>
      </c>
      <c r="B46" s="4" t="s">
        <v>87</v>
      </c>
      <c r="C46" s="4" t="s">
        <v>82</v>
      </c>
      <c r="D46" s="4" t="s">
        <v>83</v>
      </c>
      <c r="E46" s="4" t="s">
        <v>86</v>
      </c>
      <c r="F46" s="4">
        <v>5</v>
      </c>
      <c r="G46" s="4">
        <v>0</v>
      </c>
    </row>
    <row r="47" spans="1:7" ht="23.4" x14ac:dyDescent="0.45">
      <c r="A47" s="7">
        <v>46</v>
      </c>
      <c r="B47" s="4" t="s">
        <v>87</v>
      </c>
      <c r="C47" s="4" t="s">
        <v>82</v>
      </c>
      <c r="D47" s="4" t="s">
        <v>85</v>
      </c>
      <c r="E47" s="4" t="s">
        <v>84</v>
      </c>
      <c r="F47" s="4">
        <v>1</v>
      </c>
      <c r="G47" s="4">
        <v>0</v>
      </c>
    </row>
    <row r="48" spans="1:7" ht="23.4" x14ac:dyDescent="0.45">
      <c r="A48" s="7">
        <v>47</v>
      </c>
      <c r="B48" s="4" t="s">
        <v>87</v>
      </c>
      <c r="C48" s="4" t="s">
        <v>88</v>
      </c>
      <c r="D48" s="4" t="s">
        <v>89</v>
      </c>
      <c r="E48" s="4" t="s">
        <v>91</v>
      </c>
      <c r="F48" s="4">
        <v>0</v>
      </c>
      <c r="G48" s="4">
        <v>0</v>
      </c>
    </row>
    <row r="49" spans="1:7" ht="23.4" x14ac:dyDescent="0.45">
      <c r="A49" s="7">
        <v>48</v>
      </c>
      <c r="B49" s="4" t="s">
        <v>87</v>
      </c>
      <c r="C49" s="4" t="s">
        <v>88</v>
      </c>
      <c r="D49" s="4" t="s">
        <v>92</v>
      </c>
      <c r="E49" s="4" t="s">
        <v>90</v>
      </c>
      <c r="F49" s="4">
        <v>0</v>
      </c>
      <c r="G49" s="4">
        <v>1</v>
      </c>
    </row>
    <row r="50" spans="1:7" ht="23.4" x14ac:dyDescent="0.45">
      <c r="A50" s="7">
        <v>49</v>
      </c>
      <c r="B50" s="4" t="s">
        <v>23</v>
      </c>
      <c r="C50" s="4" t="s">
        <v>21</v>
      </c>
      <c r="D50" s="4" t="s">
        <v>9</v>
      </c>
      <c r="E50" s="4" t="s">
        <v>12</v>
      </c>
      <c r="F50" s="4">
        <v>3</v>
      </c>
      <c r="G50" s="4">
        <v>0</v>
      </c>
    </row>
    <row r="51" spans="1:7" ht="23.4" x14ac:dyDescent="0.45">
      <c r="A51" s="7">
        <v>50</v>
      </c>
      <c r="B51" s="4" t="s">
        <v>23</v>
      </c>
      <c r="C51" s="4" t="s">
        <v>21</v>
      </c>
      <c r="D51" s="4" t="s">
        <v>10</v>
      </c>
      <c r="E51" s="4" t="s">
        <v>11</v>
      </c>
      <c r="F51" s="4">
        <v>1</v>
      </c>
      <c r="G51" s="4">
        <v>0</v>
      </c>
    </row>
    <row r="52" spans="1:7" ht="23.4" x14ac:dyDescent="0.45">
      <c r="A52" s="7">
        <v>51</v>
      </c>
      <c r="B52" s="4" t="s">
        <v>23</v>
      </c>
      <c r="C52" s="4" t="s">
        <v>25</v>
      </c>
      <c r="D52" s="4" t="s">
        <v>29</v>
      </c>
      <c r="E52" s="4" t="s">
        <v>26</v>
      </c>
      <c r="F52" s="4">
        <v>2</v>
      </c>
      <c r="G52" s="4">
        <v>1</v>
      </c>
    </row>
    <row r="53" spans="1:7" ht="23.4" x14ac:dyDescent="0.45">
      <c r="A53" s="7">
        <v>52</v>
      </c>
      <c r="B53" s="4" t="s">
        <v>23</v>
      </c>
      <c r="C53" s="4" t="s">
        <v>25</v>
      </c>
      <c r="D53" s="4" t="s">
        <v>27</v>
      </c>
      <c r="E53" s="4" t="s">
        <v>30</v>
      </c>
      <c r="F53" s="4">
        <v>3</v>
      </c>
      <c r="G53" s="4">
        <v>1</v>
      </c>
    </row>
    <row r="54" spans="1:7" ht="23.4" x14ac:dyDescent="0.45">
      <c r="A54" s="7">
        <v>53</v>
      </c>
      <c r="B54" s="4" t="s">
        <v>23</v>
      </c>
      <c r="C54" s="4" t="s">
        <v>31</v>
      </c>
      <c r="D54" s="4" t="s">
        <v>34</v>
      </c>
      <c r="E54" s="4" t="s">
        <v>32</v>
      </c>
      <c r="F54" s="4">
        <v>0</v>
      </c>
      <c r="G54" s="4">
        <v>3</v>
      </c>
    </row>
    <row r="55" spans="1:7" ht="23.4" x14ac:dyDescent="0.45">
      <c r="A55" s="7">
        <v>54</v>
      </c>
      <c r="B55" s="4" t="s">
        <v>23</v>
      </c>
      <c r="C55" s="4" t="s">
        <v>31</v>
      </c>
      <c r="D55" s="4" t="s">
        <v>33</v>
      </c>
      <c r="E55" s="4" t="s">
        <v>35</v>
      </c>
      <c r="F55" s="4">
        <v>4</v>
      </c>
      <c r="G55" s="4">
        <v>2</v>
      </c>
    </row>
    <row r="56" spans="1:7" ht="23.4" x14ac:dyDescent="0.45">
      <c r="A56" s="7">
        <v>55</v>
      </c>
      <c r="B56" s="4" t="s">
        <v>42</v>
      </c>
      <c r="C56" s="4" t="s">
        <v>37</v>
      </c>
      <c r="D56" s="4" t="s">
        <v>41</v>
      </c>
      <c r="E56" s="4" t="s">
        <v>38</v>
      </c>
      <c r="F56" s="4">
        <v>3</v>
      </c>
      <c r="G56" s="4">
        <v>2</v>
      </c>
    </row>
    <row r="57" spans="1:7" ht="23.4" x14ac:dyDescent="0.45">
      <c r="A57" s="7">
        <v>56</v>
      </c>
      <c r="B57" s="4" t="s">
        <v>42</v>
      </c>
      <c r="C57" s="4" t="s">
        <v>37</v>
      </c>
      <c r="D57" s="4" t="s">
        <v>39</v>
      </c>
      <c r="E57" s="4" t="s">
        <v>40</v>
      </c>
      <c r="F57" s="4">
        <v>0</v>
      </c>
      <c r="G57" s="4">
        <v>0</v>
      </c>
    </row>
    <row r="58" spans="1:7" ht="23.4" x14ac:dyDescent="0.45">
      <c r="A58" s="7">
        <v>57</v>
      </c>
      <c r="B58" s="4" t="s">
        <v>42</v>
      </c>
      <c r="C58" s="4" t="s">
        <v>44</v>
      </c>
      <c r="D58" s="4" t="s">
        <v>46</v>
      </c>
      <c r="E58" s="4" t="s">
        <v>47</v>
      </c>
      <c r="F58" s="4">
        <v>0</v>
      </c>
      <c r="G58" s="4">
        <v>2</v>
      </c>
    </row>
    <row r="59" spans="1:7" ht="23.4" x14ac:dyDescent="0.45">
      <c r="A59" s="7">
        <v>58</v>
      </c>
      <c r="B59" s="4" t="s">
        <v>42</v>
      </c>
      <c r="C59" s="4" t="s">
        <v>44</v>
      </c>
      <c r="D59" s="4" t="s">
        <v>48</v>
      </c>
      <c r="E59" s="4" t="s">
        <v>45</v>
      </c>
      <c r="F59" s="4">
        <v>2</v>
      </c>
      <c r="G59" s="4">
        <v>1</v>
      </c>
    </row>
    <row r="60" spans="1:7" ht="23.4" x14ac:dyDescent="0.45">
      <c r="A60" s="7">
        <v>59</v>
      </c>
      <c r="B60" s="4" t="s">
        <v>42</v>
      </c>
      <c r="C60" s="4" t="s">
        <v>50</v>
      </c>
      <c r="D60" s="4" t="s">
        <v>52</v>
      </c>
      <c r="E60" s="4" t="s">
        <v>53</v>
      </c>
      <c r="F60" s="4">
        <v>1</v>
      </c>
      <c r="G60" s="4">
        <v>1</v>
      </c>
    </row>
    <row r="61" spans="1:7" ht="23.4" x14ac:dyDescent="0.45">
      <c r="A61" s="7">
        <v>60</v>
      </c>
      <c r="B61" s="4" t="s">
        <v>42</v>
      </c>
      <c r="C61" s="4" t="s">
        <v>50</v>
      </c>
      <c r="D61" s="4" t="s">
        <v>51</v>
      </c>
      <c r="E61" s="4" t="s">
        <v>54</v>
      </c>
      <c r="F61" s="4">
        <v>3</v>
      </c>
      <c r="G61" s="4">
        <v>1</v>
      </c>
    </row>
    <row r="62" spans="1:7" ht="23.4" x14ac:dyDescent="0.45">
      <c r="A62" s="7">
        <v>61</v>
      </c>
      <c r="B62" s="4" t="s">
        <v>62</v>
      </c>
      <c r="C62" s="4" t="s">
        <v>56</v>
      </c>
      <c r="D62" s="4" t="s">
        <v>58</v>
      </c>
      <c r="E62" s="4" t="s">
        <v>59</v>
      </c>
      <c r="F62" s="4">
        <v>1</v>
      </c>
      <c r="G62" s="4">
        <v>1</v>
      </c>
    </row>
    <row r="63" spans="1:7" ht="23.4" x14ac:dyDescent="0.45">
      <c r="A63" s="7">
        <v>62</v>
      </c>
      <c r="B63" s="4" t="s">
        <v>62</v>
      </c>
      <c r="C63" s="4" t="s">
        <v>56</v>
      </c>
      <c r="D63" s="4" t="s">
        <v>57</v>
      </c>
      <c r="E63" s="4" t="s">
        <v>60</v>
      </c>
      <c r="F63" s="4">
        <v>5</v>
      </c>
      <c r="G63" s="4">
        <v>1</v>
      </c>
    </row>
    <row r="64" spans="1:7" ht="23.4" x14ac:dyDescent="0.45">
      <c r="A64" s="7">
        <v>63</v>
      </c>
      <c r="B64" s="4" t="s">
        <v>62</v>
      </c>
      <c r="C64" s="4" t="s">
        <v>63</v>
      </c>
      <c r="D64" s="4" t="s">
        <v>65</v>
      </c>
      <c r="E64" s="4" t="s">
        <v>66</v>
      </c>
      <c r="F64" s="4">
        <v>0</v>
      </c>
      <c r="G64" s="4">
        <v>0</v>
      </c>
    </row>
    <row r="65" spans="1:7" ht="23.4" x14ac:dyDescent="0.45">
      <c r="A65" s="7">
        <v>64</v>
      </c>
      <c r="B65" s="4" t="s">
        <v>62</v>
      </c>
      <c r="C65" s="4" t="s">
        <v>63</v>
      </c>
      <c r="D65" s="4" t="s">
        <v>64</v>
      </c>
      <c r="E65" s="4" t="s">
        <v>67</v>
      </c>
      <c r="F65" s="4">
        <v>1</v>
      </c>
      <c r="G65" s="4">
        <v>0</v>
      </c>
    </row>
    <row r="66" spans="1:7" ht="23.4" x14ac:dyDescent="0.45">
      <c r="A66" s="7">
        <v>65</v>
      </c>
      <c r="B66" s="4" t="s">
        <v>62</v>
      </c>
      <c r="C66" s="4" t="s">
        <v>69</v>
      </c>
      <c r="D66" s="4" t="s">
        <v>72</v>
      </c>
      <c r="E66" s="4" t="s">
        <v>70</v>
      </c>
      <c r="F66" s="4">
        <v>1</v>
      </c>
      <c r="G66" s="4">
        <v>4</v>
      </c>
    </row>
    <row r="67" spans="1:7" ht="23.4" x14ac:dyDescent="0.45">
      <c r="A67" s="7">
        <v>66</v>
      </c>
      <c r="B67" s="4" t="s">
        <v>62</v>
      </c>
      <c r="C67" s="4" t="s">
        <v>69</v>
      </c>
      <c r="D67" s="4" t="s">
        <v>71</v>
      </c>
      <c r="E67" s="4" t="s">
        <v>73</v>
      </c>
      <c r="F67" s="4">
        <v>5</v>
      </c>
      <c r="G67" s="4">
        <v>0</v>
      </c>
    </row>
    <row r="68" spans="1:7" ht="23.4" x14ac:dyDescent="0.45">
      <c r="A68" s="7">
        <v>67</v>
      </c>
      <c r="B68" s="4" t="s">
        <v>80</v>
      </c>
      <c r="C68" s="4" t="s">
        <v>75</v>
      </c>
      <c r="D68" s="4" t="s">
        <v>76</v>
      </c>
      <c r="E68" s="4" t="s">
        <v>79</v>
      </c>
      <c r="F68" s="4">
        <v>3</v>
      </c>
      <c r="G68" s="4">
        <v>1</v>
      </c>
    </row>
    <row r="69" spans="1:7" ht="23.4" x14ac:dyDescent="0.45">
      <c r="A69" s="7">
        <v>68</v>
      </c>
      <c r="B69" s="4" t="s">
        <v>80</v>
      </c>
      <c r="C69" s="4" t="s">
        <v>75</v>
      </c>
      <c r="D69" s="4" t="s">
        <v>78</v>
      </c>
      <c r="E69" s="4" t="s">
        <v>77</v>
      </c>
      <c r="F69" s="4">
        <v>3</v>
      </c>
      <c r="G69" s="4">
        <v>3</v>
      </c>
    </row>
    <row r="70" spans="1:7" ht="23.4" x14ac:dyDescent="0.45">
      <c r="A70" s="7">
        <v>69</v>
      </c>
      <c r="B70" s="4" t="s">
        <v>80</v>
      </c>
      <c r="C70" s="4" t="s">
        <v>82</v>
      </c>
      <c r="D70" s="4" t="s">
        <v>85</v>
      </c>
      <c r="E70" s="4" t="s">
        <v>83</v>
      </c>
      <c r="F70" s="4">
        <v>0</v>
      </c>
      <c r="G70" s="4">
        <v>0</v>
      </c>
    </row>
    <row r="71" spans="1:7" ht="23.4" x14ac:dyDescent="0.45">
      <c r="A71" s="7">
        <v>70</v>
      </c>
      <c r="B71" s="4" t="s">
        <v>80</v>
      </c>
      <c r="C71" s="4" t="s">
        <v>82</v>
      </c>
      <c r="D71" s="4" t="s">
        <v>84</v>
      </c>
      <c r="E71" s="4" t="s">
        <v>86</v>
      </c>
      <c r="F71" s="4">
        <v>3</v>
      </c>
      <c r="G71" s="4">
        <v>1</v>
      </c>
    </row>
    <row r="72" spans="1:7" ht="23.4" x14ac:dyDescent="0.45">
      <c r="A72" s="7">
        <v>71</v>
      </c>
      <c r="B72" s="4" t="s">
        <v>80</v>
      </c>
      <c r="C72" s="4" t="s">
        <v>88</v>
      </c>
      <c r="D72" s="4" t="s">
        <v>89</v>
      </c>
      <c r="E72" s="4" t="s">
        <v>92</v>
      </c>
      <c r="F72" s="4">
        <v>2</v>
      </c>
      <c r="G72" s="4">
        <v>0</v>
      </c>
    </row>
    <row r="73" spans="1:7" ht="23.4" x14ac:dyDescent="0.45">
      <c r="A73" s="7">
        <v>72</v>
      </c>
      <c r="B73" s="4" t="s">
        <v>80</v>
      </c>
      <c r="C73" s="4" t="s">
        <v>88</v>
      </c>
      <c r="D73" s="4" t="s">
        <v>90</v>
      </c>
      <c r="E73" s="4" t="s">
        <v>91</v>
      </c>
      <c r="F73" s="4">
        <v>2</v>
      </c>
      <c r="G73" s="4">
        <v>1</v>
      </c>
    </row>
    <row r="75" spans="1:7" ht="25.8" x14ac:dyDescent="0.3">
      <c r="A75" s="5"/>
      <c r="B75" s="5"/>
      <c r="C75" s="5"/>
      <c r="D75" s="5"/>
      <c r="E75" s="5"/>
      <c r="F75" s="5"/>
      <c r="G75" s="5"/>
    </row>
  </sheetData>
  <sortState xmlns:xlrd2="http://schemas.microsoft.com/office/spreadsheetml/2017/richdata2" ref="A2:G77">
    <sortCondition ref="B2:B77"/>
    <sortCondition ref="C2:C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CB2B-D478-46D6-A28C-AF9367C09B36}">
  <dimension ref="A1:G26"/>
  <sheetViews>
    <sheetView workbookViewId="0">
      <selection activeCell="J5" sqref="J5"/>
    </sheetView>
  </sheetViews>
  <sheetFormatPr defaultRowHeight="14.4" x14ac:dyDescent="0.3"/>
  <cols>
    <col min="1" max="8" width="21.33203125" customWidth="1"/>
  </cols>
  <sheetData>
    <row r="1" spans="1:7" ht="21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</row>
    <row r="2" spans="1:7" x14ac:dyDescent="0.3">
      <c r="A2" s="8"/>
      <c r="B2" s="8"/>
      <c r="C2" s="8"/>
      <c r="D2" s="8"/>
      <c r="E2" s="8"/>
      <c r="F2" s="8"/>
      <c r="G2" s="8"/>
    </row>
    <row r="3" spans="1:7" x14ac:dyDescent="0.3">
      <c r="A3" s="8"/>
      <c r="B3" s="8"/>
      <c r="C3" s="8"/>
      <c r="D3" s="8"/>
      <c r="E3" s="8"/>
      <c r="F3" s="8"/>
      <c r="G3" s="8"/>
    </row>
    <row r="4" spans="1:7" x14ac:dyDescent="0.3">
      <c r="A4" s="8"/>
      <c r="B4" s="8"/>
      <c r="C4" s="8"/>
      <c r="D4" s="8"/>
      <c r="E4" s="8"/>
      <c r="F4" s="8"/>
      <c r="G4" s="8"/>
    </row>
    <row r="5" spans="1:7" x14ac:dyDescent="0.3">
      <c r="A5" s="8"/>
      <c r="B5" s="8"/>
      <c r="C5" s="8"/>
      <c r="D5" s="8"/>
      <c r="E5" s="8"/>
      <c r="F5" s="8"/>
      <c r="G5" s="8"/>
    </row>
    <row r="6" spans="1:7" x14ac:dyDescent="0.3">
      <c r="A6" s="8"/>
      <c r="B6" s="8"/>
      <c r="C6" s="8"/>
      <c r="D6" s="8"/>
      <c r="E6" s="8"/>
      <c r="F6" s="8"/>
      <c r="G6" s="8"/>
    </row>
    <row r="7" spans="1:7" x14ac:dyDescent="0.3">
      <c r="A7" s="8"/>
      <c r="B7" s="8"/>
      <c r="C7" s="8"/>
      <c r="D7" s="8"/>
      <c r="E7" s="8"/>
      <c r="F7" s="8"/>
      <c r="G7" s="8"/>
    </row>
    <row r="8" spans="1:7" x14ac:dyDescent="0.3">
      <c r="A8" s="8"/>
      <c r="B8" s="8"/>
      <c r="C8" s="8"/>
      <c r="D8" s="8"/>
      <c r="E8" s="8"/>
      <c r="F8" s="8"/>
      <c r="G8" s="8"/>
    </row>
    <row r="9" spans="1:7" x14ac:dyDescent="0.3">
      <c r="A9" s="8"/>
      <c r="B9" s="8"/>
      <c r="C9" s="8"/>
      <c r="D9" s="8"/>
      <c r="E9" s="8"/>
      <c r="F9" s="8"/>
      <c r="G9" s="8"/>
    </row>
    <row r="10" spans="1:7" x14ac:dyDescent="0.3">
      <c r="A10" s="8"/>
      <c r="B10" s="8"/>
      <c r="C10" s="8"/>
      <c r="D10" s="8"/>
      <c r="E10" s="8"/>
      <c r="F10" s="8"/>
      <c r="G10" s="8"/>
    </row>
    <row r="11" spans="1:7" x14ac:dyDescent="0.3">
      <c r="A11" s="8"/>
      <c r="B11" s="8"/>
      <c r="C11" s="8"/>
      <c r="D11" s="8"/>
      <c r="E11" s="8"/>
      <c r="F11" s="8"/>
      <c r="G11" s="8"/>
    </row>
    <row r="12" spans="1:7" x14ac:dyDescent="0.3">
      <c r="A12" s="8"/>
      <c r="B12" s="8"/>
      <c r="C12" s="8"/>
      <c r="D12" s="8"/>
      <c r="E12" s="8"/>
      <c r="F12" s="8"/>
      <c r="G12" s="8"/>
    </row>
    <row r="13" spans="1:7" x14ac:dyDescent="0.3">
      <c r="A13" s="8"/>
      <c r="B13" s="8"/>
      <c r="C13" s="8"/>
      <c r="D13" s="8"/>
      <c r="E13" s="8"/>
      <c r="F13" s="8"/>
      <c r="G13" s="8"/>
    </row>
    <row r="14" spans="1:7" x14ac:dyDescent="0.3">
      <c r="A14" s="8"/>
      <c r="B14" s="8"/>
      <c r="C14" s="8"/>
      <c r="D14" s="8"/>
      <c r="E14" s="8"/>
      <c r="F14" s="8"/>
      <c r="G14" s="8"/>
    </row>
    <row r="15" spans="1:7" x14ac:dyDescent="0.3">
      <c r="A15" s="8"/>
      <c r="B15" s="8"/>
      <c r="C15" s="8"/>
      <c r="D15" s="8"/>
      <c r="E15" s="8"/>
      <c r="F15" s="8"/>
      <c r="G15" s="8"/>
    </row>
    <row r="16" spans="1:7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  <row r="18" spans="1:7" x14ac:dyDescent="0.3">
      <c r="A18" s="8"/>
      <c r="B18" s="8"/>
      <c r="C18" s="8"/>
      <c r="D18" s="8"/>
      <c r="E18" s="8"/>
      <c r="F18" s="8"/>
      <c r="G18" s="8"/>
    </row>
    <row r="19" spans="1:7" x14ac:dyDescent="0.3">
      <c r="A19" s="8"/>
      <c r="B19" s="8"/>
      <c r="C19" s="8"/>
      <c r="D19" s="8"/>
      <c r="E19" s="8"/>
      <c r="F19" s="8"/>
      <c r="G19" s="8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  <row r="22" spans="1:7" x14ac:dyDescent="0.3">
      <c r="A22" s="8"/>
      <c r="B22" s="8"/>
      <c r="C22" s="8"/>
      <c r="D22" s="8"/>
      <c r="E22" s="8"/>
      <c r="F22" s="8"/>
      <c r="G22" s="8"/>
    </row>
    <row r="23" spans="1:7" x14ac:dyDescent="0.3">
      <c r="A23" s="8"/>
      <c r="B23" s="8"/>
      <c r="C23" s="8"/>
      <c r="D23" s="8"/>
      <c r="E23" s="8"/>
      <c r="F23" s="8"/>
      <c r="G23" s="8"/>
    </row>
    <row r="24" spans="1:7" x14ac:dyDescent="0.3">
      <c r="A24" s="8"/>
      <c r="B24" s="8"/>
      <c r="C24" s="8"/>
      <c r="D24" s="8"/>
      <c r="E24" s="8"/>
      <c r="F24" s="8"/>
      <c r="G24" s="8"/>
    </row>
    <row r="25" spans="1:7" x14ac:dyDescent="0.3">
      <c r="A25" s="8"/>
      <c r="B25" s="8"/>
      <c r="C25" s="8"/>
      <c r="D25" s="8"/>
      <c r="E25" s="8"/>
      <c r="F25" s="8"/>
      <c r="G25" s="8"/>
    </row>
    <row r="26" spans="1:7" x14ac:dyDescent="0.3">
      <c r="A26" s="8"/>
      <c r="B26" s="8"/>
      <c r="C26" s="8"/>
      <c r="D26" s="8"/>
      <c r="E26" s="8"/>
      <c r="F26" s="8"/>
      <c r="G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A2D5-D45F-499A-9A29-2AED50DA948E}">
  <dimension ref="A1:R67"/>
  <sheetViews>
    <sheetView tabSelected="1" topLeftCell="C1" zoomScale="150" zoomScaleNormal="150" workbookViewId="0">
      <pane ySplit="1" topLeftCell="A2" activePane="bottomLeft" state="frozen"/>
      <selection activeCell="B1" sqref="B1"/>
      <selection pane="bottomLeft" activeCell="L10" sqref="L10"/>
    </sheetView>
  </sheetViews>
  <sheetFormatPr defaultRowHeight="14.4" x14ac:dyDescent="0.3"/>
  <cols>
    <col min="1" max="1" width="7.77734375" bestFit="1" customWidth="1"/>
    <col min="2" max="2" width="36.5546875" customWidth="1"/>
    <col min="3" max="10" width="9.88671875" customWidth="1"/>
    <col min="11" max="11" width="13" customWidth="1"/>
    <col min="12" max="12" width="13.77734375" customWidth="1"/>
    <col min="13" max="13" width="3.5546875" bestFit="1" customWidth="1"/>
    <col min="14" max="14" width="2.6640625" bestFit="1" customWidth="1"/>
    <col min="15" max="15" width="2.21875" bestFit="1" customWidth="1"/>
    <col min="16" max="16" width="2.109375" bestFit="1" customWidth="1"/>
    <col min="17" max="17" width="3.33203125" bestFit="1" customWidth="1"/>
    <col min="18" max="18" width="3.44140625" style="1" bestFit="1" customWidth="1"/>
    <col min="19" max="19" width="3.5546875" bestFit="1" customWidth="1"/>
    <col min="20" max="20" width="3.6640625" bestFit="1" customWidth="1"/>
    <col min="21" max="22" width="12.6640625" bestFit="1" customWidth="1"/>
    <col min="23" max="23" width="12.109375" bestFit="1" customWidth="1"/>
    <col min="24" max="24" width="11.88671875" bestFit="1" customWidth="1"/>
  </cols>
  <sheetData>
    <row r="1" spans="1:18" ht="22.8" customHeight="1" x14ac:dyDescent="0.3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R1"/>
    </row>
    <row r="2" spans="1:18" ht="18" x14ac:dyDescent="0.3">
      <c r="A2" s="2" t="s">
        <v>102</v>
      </c>
      <c r="B2" s="2" t="s">
        <v>9</v>
      </c>
      <c r="C2" s="2">
        <f>COUNTIF(GROUP1!D:D,B2)+COUNTIF(GROUP1!E:E,B2)</f>
        <v>3</v>
      </c>
      <c r="D2" s="2" cm="1">
        <f t="array" ref="D2">SUMPRODUCT((GROUP1!$D$2:$D$73=B2)*(GROUP1!$F$2:$F$73&gt;GROUP1!$G$2:$G$73))+SUMPRODUCT((GROUP1!$E$2:$E$73=B2)*(GROUP1!$G$2:$G$73&gt;GROUP1!$F$2:$F$73))</f>
        <v>3</v>
      </c>
      <c r="E2" s="2" cm="1">
        <f t="array" ref="E2">SUMPRODUCT(((GROUP1!$D$2:$D$73=B2)+(GROUP1!$E$2:$E$73=B2))*(GROUP1!$F$2:$F$73=GROUP1!$G$2:$G$73))</f>
        <v>0</v>
      </c>
      <c r="F2" s="2">
        <f>(C2-(D2+E2))</f>
        <v>0</v>
      </c>
      <c r="G2" s="2">
        <f>SUMIF(GROUP1!D:D,B2,GROUP1!F:F)+SUMIF(GROUP1!E:E,B2,GROUP1!G:G)</f>
        <v>6</v>
      </c>
      <c r="H2" s="2">
        <f>SUMIF(GROUP1!D:D,B2,GROUP1!G:G)+SUMIF(GROUP1!E:E,B2,GROUP1!F:F)</f>
        <v>0</v>
      </c>
      <c r="I2" s="2">
        <f>G2-H2</f>
        <v>6</v>
      </c>
      <c r="J2" s="2">
        <f>D2*3+E2</f>
        <v>9</v>
      </c>
      <c r="R2"/>
    </row>
    <row r="3" spans="1:18" ht="18" x14ac:dyDescent="0.3">
      <c r="A3" s="2" t="s">
        <v>102</v>
      </c>
      <c r="B3" s="2" t="s">
        <v>10</v>
      </c>
      <c r="C3" s="2">
        <f>COUNTIF(GROUP1!D:D,B3)+COUNTIF(GROUP1!E:E,B3)</f>
        <v>3</v>
      </c>
      <c r="D3" s="2" cm="1">
        <f t="array" ref="D3">SUMPRODUCT((GROUP1!$D$2:$D$73=B3)*(GROUP1!$F$2:$F$73&gt;GROUP1!$G$2:$G$73))+SUMPRODUCT((GROUP1!$E$2:$E$73=B3)*(GROUP1!$G$2:$G$73&gt;GROUP1!$F$2:$F$73))</f>
        <v>1</v>
      </c>
      <c r="E3" s="2" cm="1">
        <f t="array" ref="E3">SUMPRODUCT(((GROUP1!$D$2:$D$73=B3)+(GROUP1!$E$2:$E$73=B3))*(GROUP1!$F$2:$F$73=GROUP1!$G$2:$G$73))</f>
        <v>1</v>
      </c>
      <c r="F3" s="2">
        <f t="shared" ref="F3:F49" si="0">(C3-(D3+E3))</f>
        <v>1</v>
      </c>
      <c r="G3" s="2">
        <f>SUMIF(GROUP1!D:D,B3,GROUP1!F:F)+SUMIF(GROUP1!E:E,B3,GROUP1!G:G)</f>
        <v>2</v>
      </c>
      <c r="H3" s="2">
        <f>SUMIF(GROUP1!D:D,B3,GROUP1!G:G)+SUMIF(GROUP1!E:E,B3,GROUP1!F:F)</f>
        <v>3</v>
      </c>
      <c r="I3" s="2">
        <f t="shared" ref="I3:I49" si="1">G3-H3</f>
        <v>-1</v>
      </c>
      <c r="J3" s="2">
        <f t="shared" ref="J3:J49" si="2">D3*3+E3</f>
        <v>4</v>
      </c>
      <c r="R3"/>
    </row>
    <row r="4" spans="1:18" ht="18" x14ac:dyDescent="0.3">
      <c r="A4" s="2" t="s">
        <v>102</v>
      </c>
      <c r="B4" s="2" t="s">
        <v>11</v>
      </c>
      <c r="C4" s="2">
        <f>COUNTIF(GROUP1!D:D,B4)+COUNTIF(GROUP1!E:E,B4)</f>
        <v>3</v>
      </c>
      <c r="D4" s="2" cm="1">
        <f t="array" ref="D4">SUMPRODUCT((GROUP1!$D$2:$D$73=B4)*(GROUP1!$F$2:$F$73&gt;GROUP1!$G$2:$G$73))+SUMPRODUCT((GROUP1!$E$2:$E$73=B4)*(GROUP1!$G$2:$G$73&gt;GROUP1!$F$2:$F$73))</f>
        <v>1</v>
      </c>
      <c r="E4" s="2" cm="1">
        <f t="array" ref="E4">SUMPRODUCT(((GROUP1!$D$2:$D$73=B4)+(GROUP1!$E$2:$E$73=B4))*(GROUP1!$F$2:$F$73=GROUP1!$G$2:$G$73))</f>
        <v>0</v>
      </c>
      <c r="F4" s="2">
        <f t="shared" si="0"/>
        <v>2</v>
      </c>
      <c r="G4" s="2">
        <f>SUMIF(GROUP1!D:D,B4,GROUP1!F:F)+SUMIF(GROUP1!E:E,B4,GROUP1!G:G)</f>
        <v>2</v>
      </c>
      <c r="H4" s="2">
        <f>SUMIF(GROUP1!D:D,B4,GROUP1!G:G)+SUMIF(GROUP1!E:E,B4,GROUP1!F:F)</f>
        <v>3</v>
      </c>
      <c r="I4" s="2">
        <f t="shared" si="1"/>
        <v>-1</v>
      </c>
      <c r="J4" s="2">
        <f t="shared" si="2"/>
        <v>3</v>
      </c>
    </row>
    <row r="5" spans="1:18" ht="18" x14ac:dyDescent="0.3">
      <c r="A5" s="2" t="s">
        <v>102</v>
      </c>
      <c r="B5" s="2" t="s">
        <v>12</v>
      </c>
      <c r="C5" s="2">
        <f>COUNTIF(GROUP1!D:D,B5)+COUNTIF(GROUP1!E:E,B5)</f>
        <v>3</v>
      </c>
      <c r="D5" s="2" cm="1">
        <f t="array" ref="D5">SUMPRODUCT((GROUP1!$D$2:$D$73=B5)*(GROUP1!$F$2:$F$73&gt;GROUP1!$G$2:$G$73))+SUMPRODUCT((GROUP1!$E$2:$E$73=B5)*(GROUP1!$G$2:$G$73&gt;GROUP1!$F$2:$F$73))</f>
        <v>0</v>
      </c>
      <c r="E5" s="2" cm="1">
        <f t="array" ref="E5">SUMPRODUCT(((GROUP1!$D$2:$D$73=B5)+(GROUP1!$E$2:$E$73=B5))*(GROUP1!$F$2:$F$73=GROUP1!$G$2:$G$73))</f>
        <v>1</v>
      </c>
      <c r="F5" s="2">
        <f t="shared" si="0"/>
        <v>2</v>
      </c>
      <c r="G5" s="2">
        <f>SUMIF(GROUP1!D:D,B5,GROUP1!F:F)+SUMIF(GROUP1!E:E,B5,GROUP1!G:G)</f>
        <v>2</v>
      </c>
      <c r="H5" s="2">
        <f>SUMIF(GROUP1!D:D,B5,GROUP1!G:G)+SUMIF(GROUP1!E:E,B5,GROUP1!F:F)</f>
        <v>6</v>
      </c>
      <c r="I5" s="2">
        <f t="shared" si="1"/>
        <v>-4</v>
      </c>
      <c r="J5" s="2">
        <f t="shared" si="2"/>
        <v>1</v>
      </c>
    </row>
    <row r="6" spans="1:18" ht="18" x14ac:dyDescent="0.3">
      <c r="A6" s="2" t="s">
        <v>93</v>
      </c>
      <c r="B6" s="2" t="s">
        <v>29</v>
      </c>
      <c r="C6" s="2">
        <f>COUNTIF(GROUP1!D:D,B6)+COUNTIF(GROUP1!E:E,B6)</f>
        <v>3</v>
      </c>
      <c r="D6" s="2" cm="1">
        <f t="array" ref="D6">SUMPRODUCT((GROUP1!$D$2:$D$73=B6)*(GROUP1!$F$2:$F$73&gt;GROUP1!$G$2:$G$73))+SUMPRODUCT((GROUP1!$E$2:$E$73=B6)*(GROUP1!$G$2:$G$73&gt;GROUP1!$F$2:$F$73))</f>
        <v>2</v>
      </c>
      <c r="E6" s="2" cm="1">
        <f t="array" ref="E6">SUMPRODUCT(((GROUP1!$D$2:$D$73=B6)+(GROUP1!$E$2:$E$73=B6))*(GROUP1!$F$2:$F$73=GROUP1!$G$2:$G$73))</f>
        <v>1</v>
      </c>
      <c r="F6" s="2">
        <f t="shared" si="0"/>
        <v>0</v>
      </c>
      <c r="G6" s="2">
        <f>SUMIF(GROUP1!D:D,B6,GROUP1!F:F)+SUMIF(GROUP1!E:E,B6,GROUP1!G:G)</f>
        <v>7</v>
      </c>
      <c r="H6" s="2">
        <f>SUMIF(GROUP1!D:D,B6,GROUP1!G:G)+SUMIF(GROUP1!E:E,B6,GROUP1!F:F)</f>
        <v>3</v>
      </c>
      <c r="I6" s="2">
        <f t="shared" si="1"/>
        <v>4</v>
      </c>
      <c r="J6" s="2">
        <f t="shared" si="2"/>
        <v>7</v>
      </c>
      <c r="R6"/>
    </row>
    <row r="7" spans="1:18" ht="18" x14ac:dyDescent="0.3">
      <c r="A7" s="2" t="s">
        <v>93</v>
      </c>
      <c r="B7" s="2" t="s">
        <v>26</v>
      </c>
      <c r="C7" s="2">
        <f>COUNTIF(GROUP1!D:D,B7)+COUNTIF(GROUP1!E:E,B7)</f>
        <v>3</v>
      </c>
      <c r="D7" s="2" cm="1">
        <f t="array" ref="D7">SUMPRODUCT((GROUP1!$D$2:$D$73=B7)*(GROUP1!$F$2:$F$73&gt;GROUP1!$G$2:$G$73))+SUMPRODUCT((GROUP1!$E$2:$E$73=B7)*(GROUP1!$G$2:$G$73&gt;GROUP1!$F$2:$F$73))</f>
        <v>1</v>
      </c>
      <c r="E7" s="2" cm="1">
        <f t="array" ref="E7">SUMPRODUCT(((GROUP1!$D$2:$D$73=B7)+(GROUP1!$E$2:$E$73=B7))*(GROUP1!$F$2:$F$73=GROUP1!$G$2:$G$73))</f>
        <v>1</v>
      </c>
      <c r="F7" s="2">
        <f t="shared" si="0"/>
        <v>1</v>
      </c>
      <c r="G7" s="2">
        <f>SUMIF(GROUP1!D:D,B7,GROUP1!F:F)+SUMIF(GROUP1!E:E,B7,GROUP1!G:G)</f>
        <v>8</v>
      </c>
      <c r="H7" s="2">
        <f>SUMIF(GROUP1!D:D,B7,GROUP1!G:G)+SUMIF(GROUP1!E:E,B7,GROUP1!F:F)</f>
        <v>3</v>
      </c>
      <c r="I7" s="2">
        <f t="shared" si="1"/>
        <v>5</v>
      </c>
      <c r="J7" s="2">
        <f t="shared" si="2"/>
        <v>4</v>
      </c>
      <c r="R7"/>
    </row>
    <row r="8" spans="1:18" ht="18" x14ac:dyDescent="0.3">
      <c r="A8" s="2" t="s">
        <v>93</v>
      </c>
      <c r="B8" s="2" t="s">
        <v>27</v>
      </c>
      <c r="C8" s="2">
        <f>COUNTIF(GROUP1!D:D,B8)+COUNTIF(GROUP1!E:E,B8)</f>
        <v>3</v>
      </c>
      <c r="D8" s="2" cm="1">
        <f t="array" ref="D8">SUMPRODUCT((GROUP1!$D$2:$D$73=B8)*(GROUP1!$F$2:$F$73&gt;GROUP1!$G$2:$G$73))+SUMPRODUCT((GROUP1!$E$2:$E$73=B8)*(GROUP1!$G$2:$G$73&gt;GROUP1!$F$2:$F$73))</f>
        <v>1</v>
      </c>
      <c r="E8" s="2" cm="1">
        <f t="array" ref="E8">SUMPRODUCT(((GROUP1!$D$2:$D$73=B8)+(GROUP1!$E$2:$E$73=B8))*(GROUP1!$F$2:$F$73=GROUP1!$G$2:$G$73))</f>
        <v>1</v>
      </c>
      <c r="F8" s="2">
        <f t="shared" si="0"/>
        <v>1</v>
      </c>
      <c r="G8" s="2">
        <f>SUMIF(GROUP1!D:D,B8,GROUP1!F:F)+SUMIF(GROUP1!E:E,B8,GROUP1!G:G)</f>
        <v>5</v>
      </c>
      <c r="H8" s="2">
        <f>SUMIF(GROUP1!D:D,B8,GROUP1!G:G)+SUMIF(GROUP1!E:E,B8,GROUP1!F:F)</f>
        <v>6</v>
      </c>
      <c r="I8" s="2">
        <f t="shared" si="1"/>
        <v>-1</v>
      </c>
      <c r="J8" s="2">
        <f t="shared" si="2"/>
        <v>4</v>
      </c>
      <c r="R8"/>
    </row>
    <row r="9" spans="1:18" ht="18" x14ac:dyDescent="0.3">
      <c r="A9" s="2" t="s">
        <v>93</v>
      </c>
      <c r="B9" s="2" t="s">
        <v>30</v>
      </c>
      <c r="C9" s="2">
        <f>COUNTIF(GROUP1!D:D,B9)+COUNTIF(GROUP1!E:E,B9)</f>
        <v>3</v>
      </c>
      <c r="D9" s="2" cm="1">
        <f t="array" ref="D9">SUMPRODUCT((GROUP1!$D$2:$D$73=B9)*(GROUP1!$F$2:$F$73&gt;GROUP1!$G$2:$G$73))+SUMPRODUCT((GROUP1!$E$2:$E$73=B9)*(GROUP1!$G$2:$G$73&gt;GROUP1!$F$2:$F$73))</f>
        <v>0</v>
      </c>
      <c r="E9" s="2" cm="1">
        <f t="array" ref="E9">SUMPRODUCT(((GROUP1!$D$2:$D$73=B9)+(GROUP1!$E$2:$E$73=B9))*(GROUP1!$F$2:$F$73=GROUP1!$G$2:$G$73))</f>
        <v>1</v>
      </c>
      <c r="F9" s="2">
        <f t="shared" si="0"/>
        <v>2</v>
      </c>
      <c r="G9" s="2">
        <f>SUMIF(GROUP1!D:D,B9,GROUP1!F:F)+SUMIF(GROUP1!E:E,B9,GROUP1!G:G)</f>
        <v>2</v>
      </c>
      <c r="H9" s="2">
        <f>SUMIF(GROUP1!D:D,B9,GROUP1!G:G)+SUMIF(GROUP1!E:E,B9,GROUP1!F:F)</f>
        <v>10</v>
      </c>
      <c r="I9" s="2">
        <f t="shared" si="1"/>
        <v>-8</v>
      </c>
      <c r="J9" s="2">
        <f t="shared" si="2"/>
        <v>1</v>
      </c>
      <c r="R9"/>
    </row>
    <row r="10" spans="1:18" ht="18" x14ac:dyDescent="0.3">
      <c r="A10" s="2" t="s">
        <v>94</v>
      </c>
      <c r="B10" s="2" t="s">
        <v>32</v>
      </c>
      <c r="C10" s="2">
        <f>COUNTIF(GROUP1!D:D,B10)+COUNTIF(GROUP1!E:E,B10)</f>
        <v>3</v>
      </c>
      <c r="D10" s="2" cm="1">
        <f t="array" ref="D10">SUMPRODUCT((GROUP1!$D$2:$D$73=B10)*(GROUP1!$F$2:$F$73&gt;GROUP1!$G$2:$G$73))+SUMPRODUCT((GROUP1!$E$2:$E$73=B10)*(GROUP1!$G$2:$G$73&gt;GROUP1!$F$2:$F$73))</f>
        <v>2</v>
      </c>
      <c r="E10" s="2" cm="1">
        <f t="array" ref="E10">SUMPRODUCT(((GROUP1!$D$2:$D$73=B10)+(GROUP1!$E$2:$E$73=B10))*(GROUP1!$F$2:$F$73=GROUP1!$G$2:$G$73))</f>
        <v>1</v>
      </c>
      <c r="F10" s="2">
        <f t="shared" si="0"/>
        <v>0</v>
      </c>
      <c r="G10" s="2">
        <f>SUMIF(GROUP1!D:D,B10,GROUP1!F:F)+SUMIF(GROUP1!E:E,B10,GROUP1!G:G)</f>
        <v>7</v>
      </c>
      <c r="H10" s="2">
        <f>SUMIF(GROUP1!D:D,B10,GROUP1!G:G)+SUMIF(GROUP1!E:E,B10,GROUP1!F:F)</f>
        <v>1</v>
      </c>
      <c r="I10" s="2">
        <f t="shared" si="1"/>
        <v>6</v>
      </c>
      <c r="J10" s="2">
        <f t="shared" si="2"/>
        <v>7</v>
      </c>
      <c r="R10"/>
    </row>
    <row r="11" spans="1:18" ht="18" x14ac:dyDescent="0.3">
      <c r="A11" s="2" t="s">
        <v>94</v>
      </c>
      <c r="B11" s="2" t="s">
        <v>33</v>
      </c>
      <c r="C11" s="2">
        <f>COUNTIF(GROUP1!D:D,B11)+COUNTIF(GROUP1!E:E,B11)</f>
        <v>3</v>
      </c>
      <c r="D11" s="2" cm="1">
        <f t="array" ref="D11">SUMPRODUCT((GROUP1!$D$2:$D$73=B11)*(GROUP1!$F$2:$F$73&gt;GROUP1!$G$2:$G$73))+SUMPRODUCT((GROUP1!$E$2:$E$73=B11)*(GROUP1!$G$2:$G$73&gt;GROUP1!$F$2:$F$73))</f>
        <v>2</v>
      </c>
      <c r="E11" s="2" cm="1">
        <f t="array" ref="E11">SUMPRODUCT(((GROUP1!$D$2:$D$73=B11)+(GROUP1!$E$2:$E$73=B11))*(GROUP1!$F$2:$F$73=GROUP1!$G$2:$G$73))</f>
        <v>1</v>
      </c>
      <c r="F11" s="2">
        <f t="shared" si="0"/>
        <v>0</v>
      </c>
      <c r="G11" s="2">
        <f>SUMIF(GROUP1!D:D,B11,GROUP1!F:F)+SUMIF(GROUP1!E:E,B11,GROUP1!G:G)</f>
        <v>6</v>
      </c>
      <c r="H11" s="2">
        <f>SUMIF(GROUP1!D:D,B11,GROUP1!G:G)+SUMIF(GROUP1!E:E,B11,GROUP1!F:F)</f>
        <v>3</v>
      </c>
      <c r="I11" s="2">
        <f t="shared" si="1"/>
        <v>3</v>
      </c>
      <c r="J11" s="2">
        <f t="shared" si="2"/>
        <v>7</v>
      </c>
      <c r="R11"/>
    </row>
    <row r="12" spans="1:18" ht="18" x14ac:dyDescent="0.3">
      <c r="A12" s="2" t="s">
        <v>94</v>
      </c>
      <c r="B12" s="2" t="s">
        <v>34</v>
      </c>
      <c r="C12" s="2">
        <f>COUNTIF(GROUP1!D:D,B12)+COUNTIF(GROUP1!E:E,B12)</f>
        <v>3</v>
      </c>
      <c r="D12" s="2" cm="1">
        <f t="array" ref="D12">SUMPRODUCT((GROUP1!$D$2:$D$73=B12)*(GROUP1!$F$2:$F$73&gt;GROUP1!$G$2:$G$73))+SUMPRODUCT((GROUP1!$E$2:$E$73=B12)*(GROUP1!$G$2:$G$73&gt;GROUP1!$F$2:$F$73))</f>
        <v>1</v>
      </c>
      <c r="E12" s="2" cm="1">
        <f t="array" ref="E12">SUMPRODUCT(((GROUP1!$D$2:$D$73=B12)+(GROUP1!$E$2:$E$73=B12))*(GROUP1!$F$2:$F$73=GROUP1!$G$2:$G$73))</f>
        <v>0</v>
      </c>
      <c r="F12" s="2">
        <f t="shared" si="0"/>
        <v>2</v>
      </c>
      <c r="G12" s="2">
        <f>SUMIF(GROUP1!D:D,B12,GROUP1!F:F)+SUMIF(GROUP1!E:E,B12,GROUP1!G:G)</f>
        <v>1</v>
      </c>
      <c r="H12" s="2">
        <f>SUMIF(GROUP1!D:D,B12,GROUP1!G:G)+SUMIF(GROUP1!E:E,B12,GROUP1!F:F)</f>
        <v>4</v>
      </c>
      <c r="I12" s="2">
        <f t="shared" si="1"/>
        <v>-3</v>
      </c>
      <c r="J12" s="2">
        <f t="shared" si="2"/>
        <v>3</v>
      </c>
      <c r="R12"/>
    </row>
    <row r="13" spans="1:18" ht="18" x14ac:dyDescent="0.3">
      <c r="A13" s="2" t="s">
        <v>94</v>
      </c>
      <c r="B13" s="2" t="s">
        <v>35</v>
      </c>
      <c r="C13" s="2">
        <f>COUNTIF(GROUP1!D:D,B13)+COUNTIF(GROUP1!E:E,B13)</f>
        <v>3</v>
      </c>
      <c r="D13" s="2" cm="1">
        <f t="array" ref="D13">SUMPRODUCT((GROUP1!$D$2:$D$73=B13)*(GROUP1!$F$2:$F$73&gt;GROUP1!$G$2:$G$73))+SUMPRODUCT((GROUP1!$E$2:$E$73=B13)*(GROUP1!$G$2:$G$73&gt;GROUP1!$F$2:$F$73))</f>
        <v>0</v>
      </c>
      <c r="E13" s="2" cm="1">
        <f t="array" ref="E13">SUMPRODUCT(((GROUP1!$D$2:$D$73=B13)+(GROUP1!$E$2:$E$73=B13))*(GROUP1!$F$2:$F$73=GROUP1!$G$2:$G$73))</f>
        <v>0</v>
      </c>
      <c r="F13" s="2">
        <f t="shared" si="0"/>
        <v>3</v>
      </c>
      <c r="G13" s="2">
        <f>SUMIF(GROUP1!D:D,B13,GROUP1!F:F)+SUMIF(GROUP1!E:E,B13,GROUP1!G:G)</f>
        <v>2</v>
      </c>
      <c r="H13" s="2">
        <f>SUMIF(GROUP1!D:D,B13,GROUP1!G:G)+SUMIF(GROUP1!E:E,B13,GROUP1!F:F)</f>
        <v>8</v>
      </c>
      <c r="I13" s="2">
        <f t="shared" si="1"/>
        <v>-6</v>
      </c>
      <c r="J13" s="2">
        <f t="shared" si="2"/>
        <v>0</v>
      </c>
      <c r="R13"/>
    </row>
    <row r="14" spans="1:18" ht="18" x14ac:dyDescent="0.3">
      <c r="A14" s="2" t="s">
        <v>3</v>
      </c>
      <c r="B14" s="2" t="s">
        <v>38</v>
      </c>
      <c r="C14" s="2">
        <f>COUNTIF(GROUP1!D:D,B14)+COUNTIF(GROUP1!E:E,B14)</f>
        <v>3</v>
      </c>
      <c r="D14" s="2" cm="1">
        <f t="array" ref="D14">SUMPRODUCT((GROUP1!$D$2:$D$73=B14)*(GROUP1!$F$2:$F$73&gt;GROUP1!$G$2:$G$73))+SUMPRODUCT((GROUP1!$E$2:$E$73=B14)*(GROUP1!$G$2:$G$73&gt;GROUP1!$F$2:$F$73))</f>
        <v>2</v>
      </c>
      <c r="E14" s="2" cm="1">
        <f t="array" ref="E14">SUMPRODUCT(((GROUP1!$D$2:$D$73=B14)+(GROUP1!$E$2:$E$73=B14))*(GROUP1!$F$2:$F$73=GROUP1!$G$2:$G$73))</f>
        <v>0</v>
      </c>
      <c r="F14" s="2">
        <f t="shared" si="0"/>
        <v>1</v>
      </c>
      <c r="G14" s="2">
        <f>SUMIF(GROUP1!D:D,B14,GROUP1!F:F)+SUMIF(GROUP1!E:E,B14,GROUP1!G:G)</f>
        <v>8</v>
      </c>
      <c r="H14" s="2">
        <f>SUMIF(GROUP1!D:D,B14,GROUP1!G:G)+SUMIF(GROUP1!E:E,B14,GROUP1!F:F)</f>
        <v>4</v>
      </c>
      <c r="I14" s="2">
        <f t="shared" si="1"/>
        <v>4</v>
      </c>
      <c r="J14" s="2">
        <f t="shared" si="2"/>
        <v>6</v>
      </c>
      <c r="R14"/>
    </row>
    <row r="15" spans="1:18" ht="18" x14ac:dyDescent="0.3">
      <c r="A15" s="2" t="s">
        <v>3</v>
      </c>
      <c r="B15" s="2" t="s">
        <v>40</v>
      </c>
      <c r="C15" s="2">
        <f>COUNTIF(GROUP1!D:D,B15)+COUNTIF(GROUP1!E:E,B15)</f>
        <v>3</v>
      </c>
      <c r="D15" s="2" cm="1">
        <f t="array" ref="D15">SUMPRODUCT((GROUP1!$D$2:$D$73=B15)*(GROUP1!$F$2:$F$73&gt;GROUP1!$G$2:$G$73))+SUMPRODUCT((GROUP1!$E$2:$E$73=B15)*(GROUP1!$G$2:$G$73&gt;GROUP1!$F$2:$F$73))</f>
        <v>1</v>
      </c>
      <c r="E15" s="2" cm="1">
        <f t="array" ref="E15">SUMPRODUCT(((GROUP1!$D$2:$D$73=B15)+(GROUP1!$E$2:$E$73=B15))*(GROUP1!$F$2:$F$73=GROUP1!$G$2:$G$73))</f>
        <v>1</v>
      </c>
      <c r="F15" s="2">
        <f t="shared" si="0"/>
        <v>1</v>
      </c>
      <c r="G15" s="2">
        <f>SUMIF(GROUP1!D:D,B15,GROUP1!F:F)+SUMIF(GROUP1!E:E,B15,GROUP1!G:G)</f>
        <v>2</v>
      </c>
      <c r="H15" s="2">
        <f>SUMIF(GROUP1!D:D,B15,GROUP1!G:G)+SUMIF(GROUP1!E:E,B15,GROUP1!F:F)</f>
        <v>2</v>
      </c>
      <c r="I15" s="2">
        <f t="shared" si="1"/>
        <v>0</v>
      </c>
      <c r="J15" s="2">
        <f t="shared" si="2"/>
        <v>4</v>
      </c>
      <c r="R15"/>
    </row>
    <row r="16" spans="1:18" ht="18" x14ac:dyDescent="0.3">
      <c r="A16" s="2" t="s">
        <v>3</v>
      </c>
      <c r="B16" s="2" t="s">
        <v>41</v>
      </c>
      <c r="C16" s="2">
        <f>COUNTIF(GROUP1!D:D,B16)+COUNTIF(GROUP1!E:E,B16)</f>
        <v>3</v>
      </c>
      <c r="D16" s="2" cm="1">
        <f t="array" ref="D16">SUMPRODUCT((GROUP1!$D$2:$D$73=B16)*(GROUP1!$F$2:$F$73&gt;GROUP1!$G$2:$G$73))+SUMPRODUCT((GROUP1!$E$2:$E$73=B16)*(GROUP1!$G$2:$G$73&gt;GROUP1!$F$2:$F$73))</f>
        <v>1</v>
      </c>
      <c r="E16" s="2" cm="1">
        <f t="array" ref="E16">SUMPRODUCT(((GROUP1!$D$2:$D$73=B16)+(GROUP1!$E$2:$E$73=B16))*(GROUP1!$F$2:$F$73=GROUP1!$G$2:$G$73))</f>
        <v>0</v>
      </c>
      <c r="F16" s="2">
        <f t="shared" si="0"/>
        <v>2</v>
      </c>
      <c r="G16" s="2">
        <f>SUMIF(GROUP1!D:D,B16,GROUP1!F:F)+SUMIF(GROUP1!E:E,B16,GROUP1!G:G)</f>
        <v>3</v>
      </c>
      <c r="H16" s="2">
        <f>SUMIF(GROUP1!D:D,B16,GROUP1!G:G)+SUMIF(GROUP1!E:E,B16,GROUP1!F:F)</f>
        <v>5</v>
      </c>
      <c r="I16" s="2">
        <f t="shared" si="1"/>
        <v>-2</v>
      </c>
      <c r="J16" s="2">
        <f t="shared" si="2"/>
        <v>3</v>
      </c>
      <c r="R16"/>
    </row>
    <row r="17" spans="1:18" ht="18" x14ac:dyDescent="0.3">
      <c r="A17" s="2" t="s">
        <v>3</v>
      </c>
      <c r="B17" s="2" t="s">
        <v>39</v>
      </c>
      <c r="C17" s="2">
        <f>COUNTIF(GROUP1!D:D,B17)+COUNTIF(GROUP1!E:E,B17)</f>
        <v>3</v>
      </c>
      <c r="D17" s="2" cm="1">
        <f t="array" ref="D17">SUMPRODUCT((GROUP1!$D$2:$D$73=B17)*(GROUP1!$F$2:$F$73&gt;GROUP1!$G$2:$G$73))+SUMPRODUCT((GROUP1!$E$2:$E$73=B17)*(GROUP1!$G$2:$G$73&gt;GROUP1!$F$2:$F$73))</f>
        <v>1</v>
      </c>
      <c r="E17" s="2" cm="1">
        <f t="array" ref="E17">SUMPRODUCT(((GROUP1!$D$2:$D$73=B17)+(GROUP1!$E$2:$E$73=B17))*(GROUP1!$F$2:$F$73=GROUP1!$G$2:$G$73))</f>
        <v>1</v>
      </c>
      <c r="F17" s="2">
        <f t="shared" si="0"/>
        <v>1</v>
      </c>
      <c r="G17" s="2">
        <f>SUMIF(GROUP1!D:D,B17,GROUP1!F:F)+SUMIF(GROUP1!E:E,B17,GROUP1!G:G)</f>
        <v>2</v>
      </c>
      <c r="H17" s="2">
        <f>SUMIF(GROUP1!D:D,B17,GROUP1!G:G)+SUMIF(GROUP1!E:E,B17,GROUP1!F:F)</f>
        <v>4</v>
      </c>
      <c r="I17" s="2">
        <f t="shared" si="1"/>
        <v>-2</v>
      </c>
      <c r="J17" s="2">
        <f t="shared" si="2"/>
        <v>4</v>
      </c>
      <c r="R17"/>
    </row>
    <row r="18" spans="1:18" ht="18" x14ac:dyDescent="0.3">
      <c r="A18" s="2" t="s">
        <v>95</v>
      </c>
      <c r="B18" s="2" t="s">
        <v>45</v>
      </c>
      <c r="C18" s="2">
        <f>COUNTIF(GROUP1!D:D,B18)+COUNTIF(GROUP1!E:E,B18)</f>
        <v>3</v>
      </c>
      <c r="D18" s="2" cm="1">
        <f t="array" ref="D18">SUMPRODUCT((GROUP1!$D$2:$D$73=B18)*(GROUP1!$F$2:$F$73&gt;GROUP1!$G$2:$G$73))+SUMPRODUCT((GROUP1!$E$2:$E$73=B18)*(GROUP1!$G$2:$G$73&gt;GROUP1!$F$2:$F$73))</f>
        <v>2</v>
      </c>
      <c r="E18" s="2" cm="1">
        <f t="array" ref="E18">SUMPRODUCT(((GROUP1!$D$2:$D$73=B18)+(GROUP1!$E$2:$E$73=B18))*(GROUP1!$F$2:$F$73=GROUP1!$G$2:$G$73))</f>
        <v>0</v>
      </c>
      <c r="F18" s="2">
        <f t="shared" si="0"/>
        <v>1</v>
      </c>
      <c r="G18" s="2">
        <f>SUMIF(GROUP1!D:D,B18,GROUP1!F:F)+SUMIF(GROUP1!E:E,B18,GROUP1!G:G)</f>
        <v>10</v>
      </c>
      <c r="H18" s="2">
        <f>SUMIF(GROUP1!D:D,B18,GROUP1!G:G)+SUMIF(GROUP1!E:E,B18,GROUP1!F:F)</f>
        <v>4</v>
      </c>
      <c r="I18" s="2">
        <f t="shared" si="1"/>
        <v>6</v>
      </c>
      <c r="J18" s="2">
        <f t="shared" si="2"/>
        <v>6</v>
      </c>
      <c r="R18"/>
    </row>
    <row r="19" spans="1:18" ht="18" x14ac:dyDescent="0.3">
      <c r="A19" s="2" t="s">
        <v>95</v>
      </c>
      <c r="B19" s="2" t="s">
        <v>47</v>
      </c>
      <c r="C19" s="2">
        <f>COUNTIF(GROUP1!D:D,B19)+COUNTIF(GROUP1!E:E,B19)</f>
        <v>3</v>
      </c>
      <c r="D19" s="2" cm="1">
        <f t="array" ref="D19">SUMPRODUCT((GROUP1!$D$2:$D$73=B19)*(GROUP1!$F$2:$F$73&gt;GROUP1!$G$2:$G$73))+SUMPRODUCT((GROUP1!$E$2:$E$73=B19)*(GROUP1!$G$2:$G$73&gt;GROUP1!$F$2:$F$73))</f>
        <v>2</v>
      </c>
      <c r="E19" s="2" cm="1">
        <f t="array" ref="E19">SUMPRODUCT(((GROUP1!$D$2:$D$73=B19)+(GROUP1!$E$2:$E$73=B19))*(GROUP1!$F$2:$F$73=GROUP1!$G$2:$G$73))</f>
        <v>0</v>
      </c>
      <c r="F19" s="2">
        <f t="shared" si="0"/>
        <v>1</v>
      </c>
      <c r="G19" s="2">
        <f>SUMIF(GROUP1!D:D,B19,GROUP1!F:F)+SUMIF(GROUP1!E:E,B19,GROUP1!G:G)</f>
        <v>4</v>
      </c>
      <c r="H19" s="2">
        <f>SUMIF(GROUP1!D:D,B19,GROUP1!G:G)+SUMIF(GROUP1!E:E,B19,GROUP1!F:F)</f>
        <v>2</v>
      </c>
      <c r="I19" s="2">
        <f t="shared" si="1"/>
        <v>2</v>
      </c>
      <c r="J19" s="2">
        <f t="shared" si="2"/>
        <v>6</v>
      </c>
      <c r="R19"/>
    </row>
    <row r="20" spans="1:18" ht="18" x14ac:dyDescent="0.3">
      <c r="A20" s="2" t="s">
        <v>95</v>
      </c>
      <c r="B20" s="2" t="s">
        <v>48</v>
      </c>
      <c r="C20" s="2">
        <f>COUNTIF(GROUP1!D:D,B20)+COUNTIF(GROUP1!E:E,B20)</f>
        <v>3</v>
      </c>
      <c r="D20" s="2" cm="1">
        <f t="array" ref="D20">SUMPRODUCT((GROUP1!$D$2:$D$73=B20)*(GROUP1!$F$2:$F$73&gt;GROUP1!$G$2:$G$73))+SUMPRODUCT((GROUP1!$E$2:$E$73=B20)*(GROUP1!$G$2:$G$73&gt;GROUP1!$F$2:$F$73))</f>
        <v>1</v>
      </c>
      <c r="E20" s="2" cm="1">
        <f t="array" ref="E20">SUMPRODUCT(((GROUP1!$D$2:$D$73=B20)+(GROUP1!$E$2:$E$73=B20))*(GROUP1!$F$2:$F$73=GROUP1!$G$2:$G$73))</f>
        <v>1</v>
      </c>
      <c r="F20" s="2">
        <f t="shared" si="0"/>
        <v>1</v>
      </c>
      <c r="G20" s="2">
        <f>SUMIF(GROUP1!D:D,B20,GROUP1!F:F)+SUMIF(GROUP1!E:E,B20,GROUP1!G:G)</f>
        <v>2</v>
      </c>
      <c r="H20" s="2">
        <f>SUMIF(GROUP1!D:D,B20,GROUP1!G:G)+SUMIF(GROUP1!E:E,B20,GROUP1!F:F)</f>
        <v>2</v>
      </c>
      <c r="I20" s="2">
        <f t="shared" si="1"/>
        <v>0</v>
      </c>
      <c r="J20" s="2">
        <f t="shared" si="2"/>
        <v>4</v>
      </c>
      <c r="R20"/>
    </row>
    <row r="21" spans="1:18" ht="18" x14ac:dyDescent="0.3">
      <c r="A21" s="2" t="s">
        <v>95</v>
      </c>
      <c r="B21" s="2" t="s">
        <v>46</v>
      </c>
      <c r="C21" s="2">
        <f>COUNTIF(GROUP1!D:D,B21)+COUNTIF(GROUP1!E:E,B21)</f>
        <v>3</v>
      </c>
      <c r="D21" s="2" cm="1">
        <f t="array" ref="D21">SUMPRODUCT((GROUP1!$D$2:$D$73=B21)*(GROUP1!$F$2:$F$73&gt;GROUP1!$G$2:$G$73))+SUMPRODUCT((GROUP1!$E$2:$E$73=B21)*(GROUP1!$G$2:$G$73&gt;GROUP1!$F$2:$F$73))</f>
        <v>0</v>
      </c>
      <c r="E21" s="2" cm="1">
        <f t="array" ref="E21">SUMPRODUCT(((GROUP1!$D$2:$D$73=B21)+(GROUP1!$E$2:$E$73=B21))*(GROUP1!$F$2:$F$73=GROUP1!$G$2:$G$73))</f>
        <v>1</v>
      </c>
      <c r="F21" s="2">
        <f t="shared" si="0"/>
        <v>2</v>
      </c>
      <c r="G21" s="2">
        <f>SUMIF(GROUP1!D:D,B21,GROUP1!F:F)+SUMIF(GROUP1!E:E,B21,GROUP1!G:G)</f>
        <v>1</v>
      </c>
      <c r="H21" s="2">
        <f>SUMIF(GROUP1!D:D,B21,GROUP1!G:G)+SUMIF(GROUP1!E:E,B21,GROUP1!F:F)</f>
        <v>9</v>
      </c>
      <c r="I21" s="2">
        <f t="shared" si="1"/>
        <v>-8</v>
      </c>
      <c r="J21" s="2">
        <f t="shared" si="2"/>
        <v>1</v>
      </c>
      <c r="R21"/>
    </row>
    <row r="22" spans="1:18" ht="18" x14ac:dyDescent="0.3">
      <c r="A22" s="2" t="s">
        <v>96</v>
      </c>
      <c r="B22" s="2" t="s">
        <v>51</v>
      </c>
      <c r="C22" s="2">
        <f>COUNTIF(GROUP1!D:D,B22)+COUNTIF(GROUP1!E:E,B22)</f>
        <v>3</v>
      </c>
      <c r="D22" s="2" cm="1">
        <f t="array" ref="D22">SUMPRODUCT((GROUP1!$D$2:$D$73=B22)*(GROUP1!$F$2:$F$73&gt;GROUP1!$G$2:$G$73))+SUMPRODUCT((GROUP1!$E$2:$E$73=B22)*(GROUP1!$G$2:$G$73&gt;GROUP1!$F$2:$F$73))</f>
        <v>2</v>
      </c>
      <c r="E22" s="2" cm="1">
        <f t="array" ref="E22">SUMPRODUCT(((GROUP1!$D$2:$D$73=B22)+(GROUP1!$E$2:$E$73=B22))*(GROUP1!$F$2:$F$73=GROUP1!$G$2:$G$73))</f>
        <v>1</v>
      </c>
      <c r="F22" s="2">
        <f t="shared" si="0"/>
        <v>0</v>
      </c>
      <c r="G22" s="2">
        <f>SUMIF(GROUP1!D:D,B22,GROUP1!F:F)+SUMIF(GROUP1!E:E,B22,GROUP1!G:G)</f>
        <v>10</v>
      </c>
      <c r="H22" s="2">
        <f>SUMIF(GROUP1!D:D,B22,GROUP1!G:G)+SUMIF(GROUP1!E:E,B22,GROUP1!F:F)</f>
        <v>4</v>
      </c>
      <c r="I22" s="2">
        <f t="shared" si="1"/>
        <v>6</v>
      </c>
      <c r="J22" s="2">
        <f t="shared" si="2"/>
        <v>7</v>
      </c>
    </row>
    <row r="23" spans="1:18" ht="18" x14ac:dyDescent="0.3">
      <c r="A23" s="2" t="s">
        <v>96</v>
      </c>
      <c r="B23" s="2" t="s">
        <v>52</v>
      </c>
      <c r="C23" s="2">
        <f>COUNTIF(GROUP1!D:D,B23)+COUNTIF(GROUP1!E:E,B23)</f>
        <v>3</v>
      </c>
      <c r="D23" s="2" cm="1">
        <f t="array" ref="D23">SUMPRODUCT((GROUP1!$D$2:$D$73=B23)*(GROUP1!$F$2:$F$73&gt;GROUP1!$G$2:$G$73))+SUMPRODUCT((GROUP1!$E$2:$E$73=B23)*(GROUP1!$G$2:$G$73&gt;GROUP1!$F$2:$F$73))</f>
        <v>1</v>
      </c>
      <c r="E23" s="2" cm="1">
        <f t="array" ref="E23">SUMPRODUCT(((GROUP1!$D$2:$D$73=B23)+(GROUP1!$E$2:$E$73=B23))*(GROUP1!$F$2:$F$73=GROUP1!$G$2:$G$73))</f>
        <v>2</v>
      </c>
      <c r="F23" s="2">
        <f t="shared" si="0"/>
        <v>0</v>
      </c>
      <c r="G23" s="2">
        <f>SUMIF(GROUP1!D:D,B23,GROUP1!F:F)+SUMIF(GROUP1!E:E,B23,GROUP1!G:G)</f>
        <v>7</v>
      </c>
      <c r="H23" s="2">
        <f>SUMIF(GROUP1!D:D,B23,GROUP1!G:G)+SUMIF(GROUP1!E:E,B23,GROUP1!F:F)</f>
        <v>3</v>
      </c>
      <c r="I23" s="2">
        <f t="shared" si="1"/>
        <v>4</v>
      </c>
      <c r="J23" s="2">
        <f t="shared" si="2"/>
        <v>5</v>
      </c>
    </row>
    <row r="24" spans="1:18" ht="18" x14ac:dyDescent="0.3">
      <c r="A24" s="2" t="s">
        <v>96</v>
      </c>
      <c r="B24" s="2" t="s">
        <v>53</v>
      </c>
      <c r="C24" s="2">
        <f>COUNTIF(GROUP1!D:D,B24)+COUNTIF(GROUP1!E:E,B24)</f>
        <v>3</v>
      </c>
      <c r="D24" s="2" cm="1">
        <f t="array" ref="D24">SUMPRODUCT((GROUP1!$D$2:$D$73=B24)*(GROUP1!$F$2:$F$73&gt;GROUP1!$G$2:$G$73))+SUMPRODUCT((GROUP1!$E$2:$E$73=B24)*(GROUP1!$G$2:$G$73&gt;GROUP1!$F$2:$F$73))</f>
        <v>1</v>
      </c>
      <c r="E24" s="2" cm="1">
        <f t="array" ref="E24">SUMPRODUCT(((GROUP1!$D$2:$D$73=B24)+(GROUP1!$E$2:$E$73=B24))*(GROUP1!$F$2:$F$73=GROUP1!$G$2:$G$73))</f>
        <v>1</v>
      </c>
      <c r="F24" s="2">
        <f t="shared" si="0"/>
        <v>1</v>
      </c>
      <c r="G24" s="2">
        <f>SUMIF(GROUP1!D:D,B24,GROUP1!F:F)+SUMIF(GROUP1!E:E,B24,GROUP1!G:G)</f>
        <v>7</v>
      </c>
      <c r="H24" s="2">
        <f>SUMIF(GROUP1!D:D,B24,GROUP1!G:G)+SUMIF(GROUP1!E:E,B24,GROUP1!F:F)</f>
        <v>7</v>
      </c>
      <c r="I24" s="2">
        <f t="shared" si="1"/>
        <v>0</v>
      </c>
      <c r="J24" s="2">
        <f t="shared" si="2"/>
        <v>4</v>
      </c>
      <c r="R24"/>
    </row>
    <row r="25" spans="1:18" ht="18" x14ac:dyDescent="0.3">
      <c r="A25" s="2" t="s">
        <v>96</v>
      </c>
      <c r="B25" s="2" t="s">
        <v>54</v>
      </c>
      <c r="C25" s="2">
        <f>COUNTIF(GROUP1!D:D,B25)+COUNTIF(GROUP1!E:E,B25)</f>
        <v>3</v>
      </c>
      <c r="D25" s="2" cm="1">
        <f t="array" ref="D25">SUMPRODUCT((GROUP1!$D$2:$D$73=B25)*(GROUP1!$F$2:$F$73&gt;GROUP1!$G$2:$G$73))+SUMPRODUCT((GROUP1!$E$2:$E$73=B25)*(GROUP1!$G$2:$G$73&gt;GROUP1!$F$2:$F$73))</f>
        <v>0</v>
      </c>
      <c r="E25" s="2" cm="1">
        <f t="array" ref="E25">SUMPRODUCT(((GROUP1!$D$2:$D$73=B25)+(GROUP1!$E$2:$E$73=B25))*(GROUP1!$F$2:$F$73=GROUP1!$G$2:$G$73))</f>
        <v>0</v>
      </c>
      <c r="F25" s="2">
        <f t="shared" si="0"/>
        <v>3</v>
      </c>
      <c r="G25" s="2">
        <f>SUMIF(GROUP1!D:D,B25,GROUP1!F:F)+SUMIF(GROUP1!E:E,B25,GROUP1!G:G)</f>
        <v>2</v>
      </c>
      <c r="H25" s="2">
        <f>SUMIF(GROUP1!D:D,B25,GROUP1!G:G)+SUMIF(GROUP1!E:E,B25,GROUP1!F:F)</f>
        <v>12</v>
      </c>
      <c r="I25" s="2">
        <f t="shared" si="1"/>
        <v>-10</v>
      </c>
      <c r="J25" s="2">
        <f t="shared" si="2"/>
        <v>0</v>
      </c>
      <c r="R25"/>
    </row>
    <row r="26" spans="1:18" ht="18" x14ac:dyDescent="0.3">
      <c r="A26" s="2" t="s">
        <v>97</v>
      </c>
      <c r="B26" s="2" t="s">
        <v>57</v>
      </c>
      <c r="C26" s="2">
        <f>COUNTIF(GROUP1!D:D,B26)+COUNTIF(GROUP1!E:E,B26)</f>
        <v>3</v>
      </c>
      <c r="D26" s="2" cm="1">
        <f t="array" ref="D26">SUMPRODUCT((GROUP1!$D$2:$D$73=B26)*(GROUP1!$F$2:$F$73&gt;GROUP1!$G$2:$G$73))+SUMPRODUCT((GROUP1!$E$2:$E$73=B26)*(GROUP1!$G$2:$G$73&gt;GROUP1!$F$2:$F$73))</f>
        <v>1</v>
      </c>
      <c r="E26" s="2" cm="1">
        <f t="array" ref="E26">SUMPRODUCT(((GROUP1!$D$2:$D$73=B26)+(GROUP1!$E$2:$E$73=B26))*(GROUP1!$F$2:$F$73=GROUP1!$G$2:$G$73))</f>
        <v>2</v>
      </c>
      <c r="F26" s="2">
        <f t="shared" si="0"/>
        <v>0</v>
      </c>
      <c r="G26" s="2">
        <f>SUMIF(GROUP1!D:D,B26,GROUP1!F:F)+SUMIF(GROUP1!E:E,B26,GROUP1!G:G)</f>
        <v>6</v>
      </c>
      <c r="H26" s="2">
        <f>SUMIF(GROUP1!D:D,B26,GROUP1!G:G)+SUMIF(GROUP1!E:E,B26,GROUP1!F:F)</f>
        <v>2</v>
      </c>
      <c r="I26" s="2">
        <f t="shared" si="1"/>
        <v>4</v>
      </c>
      <c r="J26" s="2">
        <f t="shared" si="2"/>
        <v>5</v>
      </c>
      <c r="R26"/>
    </row>
    <row r="27" spans="1:18" ht="18" x14ac:dyDescent="0.3">
      <c r="A27" s="2" t="s">
        <v>97</v>
      </c>
      <c r="B27" s="2" t="s">
        <v>58</v>
      </c>
      <c r="C27" s="2">
        <f>COUNTIF(GROUP1!D:D,B27)+COUNTIF(GROUP1!E:E,B27)</f>
        <v>3</v>
      </c>
      <c r="D27" s="2" cm="1">
        <f t="array" ref="D27">SUMPRODUCT((GROUP1!$D$2:$D$73=B27)*(GROUP1!$F$2:$F$73&gt;GROUP1!$G$2:$G$73))+SUMPRODUCT((GROUP1!$E$2:$E$73=B27)*(GROUP1!$G$2:$G$73&gt;GROUP1!$F$2:$F$73))</f>
        <v>1</v>
      </c>
      <c r="E27" s="2" cm="1">
        <f t="array" ref="E27">SUMPRODUCT(((GROUP1!$D$2:$D$73=B27)+(GROUP1!$E$2:$E$73=B27))*(GROUP1!$F$2:$F$73=GROUP1!$G$2:$G$73))</f>
        <v>2</v>
      </c>
      <c r="F27" s="2">
        <f t="shared" si="0"/>
        <v>0</v>
      </c>
      <c r="G27" s="2">
        <f>SUMIF(GROUP1!D:D,B27,GROUP1!F:F)+SUMIF(GROUP1!E:E,B27,GROUP1!G:G)</f>
        <v>5</v>
      </c>
      <c r="H27" s="2">
        <f>SUMIF(GROUP1!D:D,B27,GROUP1!G:G)+SUMIF(GROUP1!E:E,B27,GROUP1!F:F)</f>
        <v>3</v>
      </c>
      <c r="I27" s="2">
        <f t="shared" si="1"/>
        <v>2</v>
      </c>
      <c r="J27" s="2">
        <f t="shared" si="2"/>
        <v>5</v>
      </c>
      <c r="R27"/>
    </row>
    <row r="28" spans="1:18" ht="18" x14ac:dyDescent="0.3">
      <c r="A28" s="2" t="s">
        <v>97</v>
      </c>
      <c r="B28" s="2" t="s">
        <v>59</v>
      </c>
      <c r="C28" s="2">
        <f>COUNTIF(GROUP1!D:D,B28)+COUNTIF(GROUP1!E:E,B28)</f>
        <v>3</v>
      </c>
      <c r="D28" s="2" cm="1">
        <f t="array" ref="D28">SUMPRODUCT((GROUP1!$D$2:$D$73=B28)*(GROUP1!$F$2:$F$73&gt;GROUP1!$G$2:$G$73))+SUMPRODUCT((GROUP1!$E$2:$E$73=B28)*(GROUP1!$G$2:$G$73&gt;GROUP1!$F$2:$F$73))</f>
        <v>0</v>
      </c>
      <c r="E28" s="2" cm="1">
        <f t="array" ref="E28">SUMPRODUCT(((GROUP1!$D$2:$D$73=B28)+(GROUP1!$E$2:$E$73=B28))*(GROUP1!$F$2:$F$73=GROUP1!$G$2:$G$73))</f>
        <v>3</v>
      </c>
      <c r="F28" s="2">
        <f t="shared" si="0"/>
        <v>0</v>
      </c>
      <c r="G28" s="2">
        <f>SUMIF(GROUP1!D:D,B28,GROUP1!F:F)+SUMIF(GROUP1!E:E,B28,GROUP1!G:G)</f>
        <v>3</v>
      </c>
      <c r="H28" s="2">
        <f>SUMIF(GROUP1!D:D,B28,GROUP1!G:G)+SUMIF(GROUP1!E:E,B28,GROUP1!F:F)</f>
        <v>3</v>
      </c>
      <c r="I28" s="2">
        <f t="shared" si="1"/>
        <v>0</v>
      </c>
      <c r="J28" s="2">
        <f t="shared" si="2"/>
        <v>3</v>
      </c>
      <c r="R28"/>
    </row>
    <row r="29" spans="1:18" ht="18" x14ac:dyDescent="0.3">
      <c r="A29" s="2" t="s">
        <v>97</v>
      </c>
      <c r="B29" s="2" t="s">
        <v>60</v>
      </c>
      <c r="C29" s="2">
        <f>COUNTIF(GROUP1!D:D,B29)+COUNTIF(GROUP1!E:E,B29)</f>
        <v>3</v>
      </c>
      <c r="D29" s="2" cm="1">
        <f t="array" ref="D29">SUMPRODUCT((GROUP1!$D$2:$D$73=B29)*(GROUP1!$F$2:$F$73&gt;GROUP1!$G$2:$G$73))+SUMPRODUCT((GROUP1!$E$2:$E$73=B29)*(GROUP1!$G$2:$G$73&gt;GROUP1!$F$2:$F$73))</f>
        <v>0</v>
      </c>
      <c r="E29" s="2" cm="1">
        <f t="array" ref="E29">SUMPRODUCT(((GROUP1!$D$2:$D$73=B29)+(GROUP1!$E$2:$E$73=B29))*(GROUP1!$F$2:$F$73=GROUP1!$G$2:$G$73))</f>
        <v>1</v>
      </c>
      <c r="F29" s="2">
        <f t="shared" si="0"/>
        <v>2</v>
      </c>
      <c r="G29" s="2">
        <f>SUMIF(GROUP1!D:D,B29,GROUP1!F:F)+SUMIF(GROUP1!E:E,B29,GROUP1!G:G)</f>
        <v>4</v>
      </c>
      <c r="H29" s="2">
        <f>SUMIF(GROUP1!D:D,B29,GROUP1!G:G)+SUMIF(GROUP1!E:E,B29,GROUP1!F:F)</f>
        <v>10</v>
      </c>
      <c r="I29" s="2">
        <f t="shared" si="1"/>
        <v>-6</v>
      </c>
      <c r="J29" s="2">
        <f t="shared" si="2"/>
        <v>1</v>
      </c>
      <c r="R29"/>
    </row>
    <row r="30" spans="1:18" ht="18" x14ac:dyDescent="0.3">
      <c r="A30" s="2" t="s">
        <v>98</v>
      </c>
      <c r="B30" s="2" t="s">
        <v>64</v>
      </c>
      <c r="C30" s="2">
        <f>COUNTIF(GROUP1!D:D,B30)+COUNTIF(GROUP1!E:E,B30)</f>
        <v>3</v>
      </c>
      <c r="D30" s="2" cm="1">
        <f t="array" ref="D30">SUMPRODUCT((GROUP1!$D$2:$D$73=B30)*(GROUP1!$F$2:$F$73&gt;GROUP1!$G$2:$G$73))+SUMPRODUCT((GROUP1!$E$2:$E$73=B30)*(GROUP1!$G$2:$G$73&gt;GROUP1!$F$2:$F$73))</f>
        <v>2</v>
      </c>
      <c r="E30" s="2" cm="1">
        <f t="array" ref="E30">SUMPRODUCT(((GROUP1!$D$2:$D$73=B30)+(GROUP1!$E$2:$E$73=B30))*(GROUP1!$F$2:$F$73=GROUP1!$G$2:$G$73))</f>
        <v>1</v>
      </c>
      <c r="F30" s="2">
        <f t="shared" si="0"/>
        <v>0</v>
      </c>
      <c r="G30" s="2">
        <f>SUMIF(GROUP1!D:D,B30,GROUP1!F:F)+SUMIF(GROUP1!E:E,B30,GROUP1!G:G)</f>
        <v>5</v>
      </c>
      <c r="H30" s="2">
        <f>SUMIF(GROUP1!D:D,B30,GROUP1!G:G)+SUMIF(GROUP1!E:E,B30,GROUP1!F:F)</f>
        <v>0</v>
      </c>
      <c r="I30" s="2">
        <f t="shared" si="1"/>
        <v>5</v>
      </c>
      <c r="J30" s="2">
        <f t="shared" si="2"/>
        <v>7</v>
      </c>
      <c r="R30"/>
    </row>
    <row r="31" spans="1:18" ht="18" x14ac:dyDescent="0.3">
      <c r="A31" s="2" t="s">
        <v>98</v>
      </c>
      <c r="B31" s="2" t="s">
        <v>65</v>
      </c>
      <c r="C31" s="2">
        <f>COUNTIF(GROUP1!D:D,B31)+COUNTIF(GROUP1!E:E,B31)</f>
        <v>3</v>
      </c>
      <c r="D31" s="2" cm="1">
        <f t="array" ref="D31">SUMPRODUCT((GROUP1!$D$2:$D$73=B31)*(GROUP1!$F$2:$F$73&gt;GROUP1!$G$2:$G$73))+SUMPRODUCT((GROUP1!$E$2:$E$73=B31)*(GROUP1!$G$2:$G$73&gt;GROUP1!$F$2:$F$73))</f>
        <v>0</v>
      </c>
      <c r="E31" s="2" cm="1">
        <f t="array" ref="E31">SUMPRODUCT(((GROUP1!$D$2:$D$73=B31)+(GROUP1!$E$2:$E$73=B31))*(GROUP1!$F$2:$F$73=GROUP1!$G$2:$G$73))</f>
        <v>3</v>
      </c>
      <c r="F31" s="2">
        <f t="shared" si="0"/>
        <v>0</v>
      </c>
      <c r="G31" s="2">
        <f>SUMIF(GROUP1!D:D,B31,GROUP1!F:F)+SUMIF(GROUP1!E:E,B31,GROUP1!G:G)</f>
        <v>2</v>
      </c>
      <c r="H31" s="2">
        <f>SUMIF(GROUP1!D:D,B31,GROUP1!G:G)+SUMIF(GROUP1!E:E,B31,GROUP1!F:F)</f>
        <v>2</v>
      </c>
      <c r="I31" s="2">
        <f t="shared" si="1"/>
        <v>0</v>
      </c>
      <c r="J31" s="2">
        <f t="shared" si="2"/>
        <v>3</v>
      </c>
      <c r="R31"/>
    </row>
    <row r="32" spans="1:18" ht="18" x14ac:dyDescent="0.3">
      <c r="A32" s="2" t="s">
        <v>98</v>
      </c>
      <c r="B32" s="2" t="s">
        <v>66</v>
      </c>
      <c r="C32" s="2">
        <f>COUNTIF(GROUP1!D:D,B32)+COUNTIF(GROUP1!E:E,B32)</f>
        <v>3</v>
      </c>
      <c r="D32" s="2" cm="1">
        <f t="array" ref="D32">SUMPRODUCT((GROUP1!$D$2:$D$73=B32)*(GROUP1!$F$2:$F$73&gt;GROUP1!$G$2:$G$73))+SUMPRODUCT((GROUP1!$E$2:$E$73=B32)*(GROUP1!$G$2:$G$73&gt;GROUP1!$F$2:$F$73))</f>
        <v>0</v>
      </c>
      <c r="E32" s="2" cm="1">
        <f t="array" ref="E32">SUMPRODUCT(((GROUP1!$D$2:$D$73=B32)+(GROUP1!$E$2:$E$73=B32))*(GROUP1!$F$2:$F$73=GROUP1!$G$2:$G$73))</f>
        <v>2</v>
      </c>
      <c r="F32" s="2">
        <f t="shared" si="0"/>
        <v>1</v>
      </c>
      <c r="G32" s="2">
        <f>SUMIF(GROUP1!D:D,B32,GROUP1!F:F)+SUMIF(GROUP1!E:E,B32,GROUP1!G:G)</f>
        <v>1</v>
      </c>
      <c r="H32" s="2">
        <f>SUMIF(GROUP1!D:D,B32,GROUP1!G:G)+SUMIF(GROUP1!E:E,B32,GROUP1!F:F)</f>
        <v>5</v>
      </c>
      <c r="I32" s="2">
        <f t="shared" si="1"/>
        <v>-4</v>
      </c>
      <c r="J32" s="2">
        <f t="shared" si="2"/>
        <v>2</v>
      </c>
      <c r="R32"/>
    </row>
    <row r="33" spans="1:18" ht="18" x14ac:dyDescent="0.3">
      <c r="A33" s="2" t="s">
        <v>98</v>
      </c>
      <c r="B33" s="2" t="s">
        <v>67</v>
      </c>
      <c r="C33" s="2">
        <f>COUNTIF(GROUP1!D:D,B33)+COUNTIF(GROUP1!E:E,B33)</f>
        <v>3</v>
      </c>
      <c r="D33" s="2" cm="1">
        <f t="array" ref="D33">SUMPRODUCT((GROUP1!$D$2:$D$73=B33)*(GROUP1!$F$2:$F$73&gt;GROUP1!$G$2:$G$73))+SUMPRODUCT((GROUP1!$E$2:$E$73=B33)*(GROUP1!$G$2:$G$73&gt;GROUP1!$F$2:$F$73))</f>
        <v>0</v>
      </c>
      <c r="E33" s="2" cm="1">
        <f t="array" ref="E33">SUMPRODUCT(((GROUP1!$D$2:$D$73=B33)+(GROUP1!$E$2:$E$73=B33))*(GROUP1!$F$2:$F$73=GROUP1!$G$2:$G$73))</f>
        <v>2</v>
      </c>
      <c r="F33" s="2">
        <f t="shared" si="0"/>
        <v>1</v>
      </c>
      <c r="G33" s="2">
        <f>SUMIF(GROUP1!D:D,B33,GROUP1!F:F)+SUMIF(GROUP1!E:E,B33,GROUP1!G:G)</f>
        <v>3</v>
      </c>
      <c r="H33" s="2">
        <f>SUMIF(GROUP1!D:D,B33,GROUP1!G:G)+SUMIF(GROUP1!E:E,B33,GROUP1!F:F)</f>
        <v>4</v>
      </c>
      <c r="I33" s="2">
        <f t="shared" si="1"/>
        <v>-1</v>
      </c>
      <c r="J33" s="2">
        <f t="shared" si="2"/>
        <v>2</v>
      </c>
      <c r="R33"/>
    </row>
    <row r="34" spans="1:18" ht="18" x14ac:dyDescent="0.3">
      <c r="A34" s="2" t="s">
        <v>99</v>
      </c>
      <c r="B34" s="2" t="s">
        <v>70</v>
      </c>
      <c r="C34" s="2">
        <f>COUNTIF(GROUP1!D:D,B34)+COUNTIF(GROUP1!E:E,B34)</f>
        <v>3</v>
      </c>
      <c r="D34" s="2" cm="1">
        <f t="array" ref="D34">SUMPRODUCT((GROUP1!$D$2:$D$73=B34)*(GROUP1!$F$2:$F$73&gt;GROUP1!$G$2:$G$73))+SUMPRODUCT((GROUP1!$E$2:$E$73=B34)*(GROUP1!$G$2:$G$73&gt;GROUP1!$F$2:$F$73))</f>
        <v>3</v>
      </c>
      <c r="E34" s="2" cm="1">
        <f t="array" ref="E34">SUMPRODUCT(((GROUP1!$D$2:$D$73=B34)+(GROUP1!$E$2:$E$73=B34))*(GROUP1!$F$2:$F$73=GROUP1!$G$2:$G$73))</f>
        <v>0</v>
      </c>
      <c r="F34" s="2">
        <f t="shared" si="0"/>
        <v>0</v>
      </c>
      <c r="G34" s="2">
        <f>SUMIF(GROUP1!D:D,B34,GROUP1!F:F)+SUMIF(GROUP1!E:E,B34,GROUP1!G:G)</f>
        <v>10</v>
      </c>
      <c r="H34" s="2">
        <f>SUMIF(GROUP1!D:D,B34,GROUP1!G:G)+SUMIF(GROUP1!E:E,B34,GROUP1!F:F)</f>
        <v>2</v>
      </c>
      <c r="I34" s="2">
        <f t="shared" si="1"/>
        <v>8</v>
      </c>
      <c r="J34" s="2">
        <f t="shared" si="2"/>
        <v>9</v>
      </c>
      <c r="R34"/>
    </row>
    <row r="35" spans="1:18" ht="18" x14ac:dyDescent="0.3">
      <c r="A35" s="2" t="s">
        <v>99</v>
      </c>
      <c r="B35" s="2" t="s">
        <v>72</v>
      </c>
      <c r="C35" s="2">
        <f>COUNTIF(GROUP1!D:D,B35)+COUNTIF(GROUP1!E:E,B35)</f>
        <v>3</v>
      </c>
      <c r="D35" s="2" cm="1">
        <f t="array" ref="D35">SUMPRODUCT((GROUP1!$D$2:$D$73=B35)*(GROUP1!$F$2:$F$73&gt;GROUP1!$G$2:$G$73))+SUMPRODUCT((GROUP1!$E$2:$E$73=B35)*(GROUP1!$G$2:$G$73&gt;GROUP1!$F$2:$F$73))</f>
        <v>2</v>
      </c>
      <c r="E35" s="2" cm="1">
        <f t="array" ref="E35">SUMPRODUCT(((GROUP1!$D$2:$D$73=B35)+(GROUP1!$E$2:$E$73=B35))*(GROUP1!$F$2:$F$73=GROUP1!$G$2:$G$73))</f>
        <v>0</v>
      </c>
      <c r="F35" s="2">
        <f t="shared" si="0"/>
        <v>1</v>
      </c>
      <c r="G35" s="2">
        <f>SUMIF(GROUP1!D:D,B35,GROUP1!F:F)+SUMIF(GROUP1!E:E,B35,GROUP1!G:G)</f>
        <v>8</v>
      </c>
      <c r="H35" s="2">
        <f>SUMIF(GROUP1!D:D,B35,GROUP1!G:G)+SUMIF(GROUP1!E:E,B35,GROUP1!F:F)</f>
        <v>7</v>
      </c>
      <c r="I35" s="2">
        <f t="shared" si="1"/>
        <v>1</v>
      </c>
      <c r="J35" s="2">
        <f t="shared" si="2"/>
        <v>6</v>
      </c>
      <c r="R35"/>
    </row>
    <row r="36" spans="1:18" ht="18" x14ac:dyDescent="0.3">
      <c r="A36" s="2" t="s">
        <v>99</v>
      </c>
      <c r="B36" s="2" t="s">
        <v>71</v>
      </c>
      <c r="C36" s="2">
        <f>COUNTIF(GROUP1!D:D,B36)+COUNTIF(GROUP1!E:E,B36)</f>
        <v>3</v>
      </c>
      <c r="D36" s="2" cm="1">
        <f t="array" ref="D36">SUMPRODUCT((GROUP1!$D$2:$D$73=B36)*(GROUP1!$F$2:$F$73&gt;GROUP1!$G$2:$G$73))+SUMPRODUCT((GROUP1!$E$2:$E$73=B36)*(GROUP1!$G$2:$G$73&gt;GROUP1!$F$2:$F$73))</f>
        <v>1</v>
      </c>
      <c r="E36" s="2" cm="1">
        <f t="array" ref="E36">SUMPRODUCT(((GROUP1!$D$2:$D$73=B36)+(GROUP1!$E$2:$E$73=B36))*(GROUP1!$F$2:$F$73=GROUP1!$G$2:$G$73))</f>
        <v>0</v>
      </c>
      <c r="F36" s="2">
        <f t="shared" si="0"/>
        <v>2</v>
      </c>
      <c r="G36" s="2">
        <f>SUMIF(GROUP1!D:D,B36,GROUP1!F:F)+SUMIF(GROUP1!E:E,B36,GROUP1!G:G)</f>
        <v>8</v>
      </c>
      <c r="H36" s="2">
        <f>SUMIF(GROUP1!D:D,B36,GROUP1!G:G)+SUMIF(GROUP1!E:E,B36,GROUP1!F:F)</f>
        <v>6</v>
      </c>
      <c r="I36" s="2">
        <f t="shared" si="1"/>
        <v>2</v>
      </c>
      <c r="J36" s="2">
        <f t="shared" si="2"/>
        <v>3</v>
      </c>
      <c r="R36"/>
    </row>
    <row r="37" spans="1:18" ht="18" x14ac:dyDescent="0.3">
      <c r="A37" s="2" t="s">
        <v>99</v>
      </c>
      <c r="B37" s="2" t="s">
        <v>73</v>
      </c>
      <c r="C37" s="2">
        <f>COUNTIF(GROUP1!D:D,B37)+COUNTIF(GROUP1!E:E,B37)</f>
        <v>3</v>
      </c>
      <c r="D37" s="2" cm="1">
        <f t="array" ref="D37">SUMPRODUCT((GROUP1!$D$2:$D$73=B37)*(GROUP1!$F$2:$F$73&gt;GROUP1!$G$2:$G$73))+SUMPRODUCT((GROUP1!$E$2:$E$73=B37)*(GROUP1!$G$2:$G$73&gt;GROUP1!$F$2:$F$73))</f>
        <v>0</v>
      </c>
      <c r="E37" s="2" cm="1">
        <f t="array" ref="E37">SUMPRODUCT(((GROUP1!$D$2:$D$73=B37)+(GROUP1!$E$2:$E$73=B37))*(GROUP1!$F$2:$F$73=GROUP1!$G$2:$G$73))</f>
        <v>0</v>
      </c>
      <c r="F37" s="2">
        <f t="shared" si="0"/>
        <v>3</v>
      </c>
      <c r="G37" s="2">
        <f>SUMIF(GROUP1!D:D,B37,GROUP1!F:F)+SUMIF(GROUP1!E:E,B37,GROUP1!G:G)</f>
        <v>1</v>
      </c>
      <c r="H37" s="2">
        <f>SUMIF(GROUP1!D:D,B37,GROUP1!G:G)+SUMIF(GROUP1!E:E,B37,GROUP1!F:F)</f>
        <v>12</v>
      </c>
      <c r="I37" s="2">
        <f t="shared" si="1"/>
        <v>-11</v>
      </c>
      <c r="J37" s="2">
        <f t="shared" si="2"/>
        <v>0</v>
      </c>
      <c r="R37"/>
    </row>
    <row r="38" spans="1:18" ht="18" x14ac:dyDescent="0.3">
      <c r="A38" s="2" t="s">
        <v>100</v>
      </c>
      <c r="B38" s="2" t="s">
        <v>76</v>
      </c>
      <c r="C38" s="2">
        <f>COUNTIF(GROUP1!D:D,B38)+COUNTIF(GROUP1!E:E,B38)</f>
        <v>3</v>
      </c>
      <c r="D38" s="2" cm="1">
        <f t="array" ref="D38">SUMPRODUCT((GROUP1!$D$2:$D$73=B38)*(GROUP1!$F$2:$F$73&gt;GROUP1!$G$2:$G$73))+SUMPRODUCT((GROUP1!$E$2:$E$73=B38)*(GROUP1!$G$2:$G$73&gt;GROUP1!$F$2:$F$73))</f>
        <v>3</v>
      </c>
      <c r="E38" s="2" cm="1">
        <f t="array" ref="E38">SUMPRODUCT(((GROUP1!$D$2:$D$73=B38)+(GROUP1!$E$2:$E$73=B38))*(GROUP1!$F$2:$F$73=GROUP1!$G$2:$G$73))</f>
        <v>0</v>
      </c>
      <c r="F38" s="2">
        <f t="shared" si="0"/>
        <v>0</v>
      </c>
      <c r="G38" s="2">
        <f>SUMIF(GROUP1!D:D,B38,GROUP1!F:F)+SUMIF(GROUP1!E:E,B38,GROUP1!G:G)</f>
        <v>8</v>
      </c>
      <c r="H38" s="2">
        <f>SUMIF(GROUP1!D:D,B38,GROUP1!G:G)+SUMIF(GROUP1!E:E,B38,GROUP1!F:F)</f>
        <v>1</v>
      </c>
      <c r="I38" s="2">
        <f t="shared" si="1"/>
        <v>7</v>
      </c>
      <c r="J38" s="2">
        <f t="shared" si="2"/>
        <v>9</v>
      </c>
      <c r="R38"/>
    </row>
    <row r="39" spans="1:18" ht="18" x14ac:dyDescent="0.3">
      <c r="A39" s="2" t="s">
        <v>100</v>
      </c>
      <c r="B39" s="2" t="s">
        <v>78</v>
      </c>
      <c r="C39" s="2">
        <f>COUNTIF(GROUP1!D:D,B39)+COUNTIF(GROUP1!E:E,B39)</f>
        <v>3</v>
      </c>
      <c r="D39" s="2" cm="1">
        <f t="array" ref="D39">SUMPRODUCT((GROUP1!$D$2:$D$73=B39)*(GROUP1!$F$2:$F$73&gt;GROUP1!$G$2:$G$73))+SUMPRODUCT((GROUP1!$E$2:$E$73=B39)*(GROUP1!$G$2:$G$73&gt;GROUP1!$F$2:$F$73))</f>
        <v>1</v>
      </c>
      <c r="E39" s="2" cm="1">
        <f t="array" ref="E39">SUMPRODUCT(((GROUP1!$D$2:$D$73=B39)+(GROUP1!$E$2:$E$73=B39))*(GROUP1!$F$2:$F$73=GROUP1!$G$2:$G$73))</f>
        <v>1</v>
      </c>
      <c r="F39" s="2">
        <f t="shared" si="0"/>
        <v>1</v>
      </c>
      <c r="G39" s="2">
        <f>SUMIF(GROUP1!D:D,B39,GROUP1!F:F)+SUMIF(GROUP1!E:E,B39,GROUP1!G:G)</f>
        <v>6</v>
      </c>
      <c r="H39" s="2">
        <f>SUMIF(GROUP1!D:D,B39,GROUP1!G:G)+SUMIF(GROUP1!E:E,B39,GROUP1!F:F)</f>
        <v>6</v>
      </c>
      <c r="I39" s="2">
        <f t="shared" si="1"/>
        <v>0</v>
      </c>
      <c r="J39" s="2">
        <f t="shared" si="2"/>
        <v>4</v>
      </c>
      <c r="R39"/>
    </row>
    <row r="40" spans="1:18" ht="18" x14ac:dyDescent="0.3">
      <c r="A40" s="2" t="s">
        <v>100</v>
      </c>
      <c r="B40" s="2" t="s">
        <v>77</v>
      </c>
      <c r="C40" s="2">
        <f>COUNTIF(GROUP1!D:D,B40)+COUNTIF(GROUP1!E:E,B40)</f>
        <v>3</v>
      </c>
      <c r="D40" s="2" cm="1">
        <f t="array" ref="D40">SUMPRODUCT((GROUP1!$D$2:$D$73=B40)*(GROUP1!$F$2:$F$73&gt;GROUP1!$G$2:$G$73))+SUMPRODUCT((GROUP1!$E$2:$E$73=B40)*(GROUP1!$G$2:$G$73&gt;GROUP1!$F$2:$F$73))</f>
        <v>1</v>
      </c>
      <c r="E40" s="2" cm="1">
        <f t="array" ref="E40">SUMPRODUCT(((GROUP1!$D$2:$D$73=B40)+(GROUP1!$E$2:$E$73=B40))*(GROUP1!$F$2:$F$73=GROUP1!$G$2:$G$73))</f>
        <v>1</v>
      </c>
      <c r="F40" s="2">
        <f t="shared" si="0"/>
        <v>1</v>
      </c>
      <c r="G40" s="2">
        <f>SUMIF(GROUP1!D:D,B40,GROUP1!F:F)+SUMIF(GROUP1!E:E,B40,GROUP1!G:G)</f>
        <v>5</v>
      </c>
      <c r="H40" s="2">
        <f>SUMIF(GROUP1!D:D,B40,GROUP1!G:G)+SUMIF(GROUP1!E:E,B40,GROUP1!F:F)</f>
        <v>7</v>
      </c>
      <c r="I40" s="2">
        <f t="shared" si="1"/>
        <v>-2</v>
      </c>
      <c r="J40" s="2">
        <f t="shared" si="2"/>
        <v>4</v>
      </c>
      <c r="R40"/>
    </row>
    <row r="41" spans="1:18" ht="18" x14ac:dyDescent="0.3">
      <c r="A41" s="2" t="s">
        <v>100</v>
      </c>
      <c r="B41" s="2" t="s">
        <v>79</v>
      </c>
      <c r="C41" s="2">
        <f>COUNTIF(GROUP1!D:D,B41)+COUNTIF(GROUP1!E:E,B41)</f>
        <v>3</v>
      </c>
      <c r="D41" s="2" cm="1">
        <f t="array" ref="D41">SUMPRODUCT((GROUP1!$D$2:$D$73=B41)*(GROUP1!$F$2:$F$73&gt;GROUP1!$G$2:$G$73))+SUMPRODUCT((GROUP1!$E$2:$E$73=B41)*(GROUP1!$G$2:$G$73&gt;GROUP1!$F$2:$F$73))</f>
        <v>0</v>
      </c>
      <c r="E41" s="2" cm="1">
        <f t="array" ref="E41">SUMPRODUCT(((GROUP1!$D$2:$D$73=B41)+(GROUP1!$E$2:$E$73=B41))*(GROUP1!$F$2:$F$73=GROUP1!$G$2:$G$73))</f>
        <v>0</v>
      </c>
      <c r="F41" s="2">
        <f t="shared" si="0"/>
        <v>3</v>
      </c>
      <c r="G41" s="2">
        <f>SUMIF(GROUP1!D:D,B41,GROUP1!F:F)+SUMIF(GROUP1!E:E,B41,GROUP1!G:G)</f>
        <v>3</v>
      </c>
      <c r="H41" s="2">
        <f>SUMIF(GROUP1!D:D,B41,GROUP1!G:G)+SUMIF(GROUP1!E:E,B41,GROUP1!F:F)</f>
        <v>8</v>
      </c>
      <c r="I41" s="2">
        <f t="shared" si="1"/>
        <v>-5</v>
      </c>
      <c r="J41" s="2">
        <f t="shared" si="2"/>
        <v>0</v>
      </c>
      <c r="R41"/>
    </row>
    <row r="42" spans="1:18" ht="18" x14ac:dyDescent="0.3">
      <c r="A42" s="2" t="s">
        <v>101</v>
      </c>
      <c r="B42" s="2" t="s">
        <v>85</v>
      </c>
      <c r="C42" s="2">
        <f>COUNTIF(GROUP1!D:D,B42)+COUNTIF(GROUP1!E:E,B42)</f>
        <v>3</v>
      </c>
      <c r="D42" s="2" cm="1">
        <f t="array" ref="D42">SUMPRODUCT((GROUP1!$D$2:$D$73=B42)*(GROUP1!$F$2:$F$73&gt;GROUP1!$G$2:$G$73))+SUMPRODUCT((GROUP1!$E$2:$E$73=B42)*(GROUP1!$G$2:$G$73&gt;GROUP1!$F$2:$F$73))</f>
        <v>2</v>
      </c>
      <c r="E42" s="2" cm="1">
        <f t="array" ref="E42">SUMPRODUCT(((GROUP1!$D$2:$D$73=B42)+(GROUP1!$E$2:$E$73=B42))*(GROUP1!$F$2:$F$73=GROUP1!$G$2:$G$73))</f>
        <v>1</v>
      </c>
      <c r="F42" s="2">
        <f t="shared" si="0"/>
        <v>0</v>
      </c>
      <c r="G42" s="2">
        <f>SUMIF(GROUP1!D:D,B42,GROUP1!F:F)+SUMIF(GROUP1!E:E,B42,GROUP1!G:G)</f>
        <v>4</v>
      </c>
      <c r="H42" s="2">
        <f>SUMIF(GROUP1!D:D,B42,GROUP1!G:G)+SUMIF(GROUP1!E:E,B42,GROUP1!F:F)</f>
        <v>1</v>
      </c>
      <c r="I42" s="2">
        <f t="shared" si="1"/>
        <v>3</v>
      </c>
      <c r="J42" s="2">
        <f t="shared" si="2"/>
        <v>7</v>
      </c>
      <c r="R42"/>
    </row>
    <row r="43" spans="1:18" ht="18" x14ac:dyDescent="0.3">
      <c r="A43" s="2" t="s">
        <v>101</v>
      </c>
      <c r="B43" s="2" t="s">
        <v>83</v>
      </c>
      <c r="C43" s="2">
        <f>COUNTIF(GROUP1!D:D,B43)+COUNTIF(GROUP1!E:E,B43)</f>
        <v>3</v>
      </c>
      <c r="D43" s="2" cm="1">
        <f t="array" ref="D43">SUMPRODUCT((GROUP1!$D$2:$D$73=B43)*(GROUP1!$F$2:$F$73&gt;GROUP1!$G$2:$G$73))+SUMPRODUCT((GROUP1!$E$2:$E$73=B43)*(GROUP1!$G$2:$G$73&gt;GROUP1!$F$2:$F$73))</f>
        <v>1</v>
      </c>
      <c r="E43" s="2" cm="1">
        <f t="array" ref="E43">SUMPRODUCT(((GROUP1!$D$2:$D$73=B43)+(GROUP1!$E$2:$E$73=B43))*(GROUP1!$F$2:$F$73=GROUP1!$G$2:$G$73))</f>
        <v>2</v>
      </c>
      <c r="F43" s="2">
        <f t="shared" si="0"/>
        <v>0</v>
      </c>
      <c r="G43" s="2">
        <f>SUMIF(GROUP1!D:D,B43,GROUP1!F:F)+SUMIF(GROUP1!E:E,B43,GROUP1!G:G)</f>
        <v>6</v>
      </c>
      <c r="H43" s="2">
        <f>SUMIF(GROUP1!D:D,B43,GROUP1!G:G)+SUMIF(GROUP1!E:E,B43,GROUP1!F:F)</f>
        <v>1</v>
      </c>
      <c r="I43" s="2">
        <f t="shared" si="1"/>
        <v>5</v>
      </c>
      <c r="J43" s="2">
        <f t="shared" si="2"/>
        <v>5</v>
      </c>
      <c r="R43"/>
    </row>
    <row r="44" spans="1:18" ht="18" x14ac:dyDescent="0.3">
      <c r="A44" s="2" t="s">
        <v>101</v>
      </c>
      <c r="B44" s="2" t="s">
        <v>84</v>
      </c>
      <c r="C44" s="2">
        <f>COUNTIF(GROUP1!D:D,B44)+COUNTIF(GROUP1!E:E,B44)</f>
        <v>3</v>
      </c>
      <c r="D44" s="2" cm="1">
        <f t="array" ref="D44">SUMPRODUCT((GROUP1!$D$2:$D$73=B44)*(GROUP1!$F$2:$F$73&gt;GROUP1!$G$2:$G$73))+SUMPRODUCT((GROUP1!$E$2:$E$73=B44)*(GROUP1!$G$2:$G$73&gt;GROUP1!$F$2:$F$73))</f>
        <v>1</v>
      </c>
      <c r="E44" s="2" cm="1">
        <f t="array" ref="E44">SUMPRODUCT(((GROUP1!$D$2:$D$73=B44)+(GROUP1!$E$2:$E$73=B44))*(GROUP1!$F$2:$F$73=GROUP1!$G$2:$G$73))</f>
        <v>1</v>
      </c>
      <c r="F44" s="2">
        <f t="shared" si="0"/>
        <v>1</v>
      </c>
      <c r="G44" s="2">
        <f>SUMIF(GROUP1!D:D,B44,GROUP1!F:F)+SUMIF(GROUP1!E:E,B44,GROUP1!G:G)</f>
        <v>4</v>
      </c>
      <c r="H44" s="2">
        <f>SUMIF(GROUP1!D:D,B44,GROUP1!G:G)+SUMIF(GROUP1!E:E,B44,GROUP1!F:F)</f>
        <v>3</v>
      </c>
      <c r="I44" s="2">
        <f t="shared" si="1"/>
        <v>1</v>
      </c>
      <c r="J44" s="2">
        <f t="shared" si="2"/>
        <v>4</v>
      </c>
      <c r="R44"/>
    </row>
    <row r="45" spans="1:18" ht="18" x14ac:dyDescent="0.3">
      <c r="A45" s="2" t="s">
        <v>101</v>
      </c>
      <c r="B45" s="2" t="s">
        <v>86</v>
      </c>
      <c r="C45" s="2">
        <f>COUNTIF(GROUP1!D:D,B45)+COUNTIF(GROUP1!E:E,B45)</f>
        <v>3</v>
      </c>
      <c r="D45" s="2" cm="1">
        <f t="array" ref="D45">SUMPRODUCT((GROUP1!$D$2:$D$73=B45)*(GROUP1!$F$2:$F$73&gt;GROUP1!$G$2:$G$73))+SUMPRODUCT((GROUP1!$E$2:$E$73=B45)*(GROUP1!$G$2:$G$73&gt;GROUP1!$F$2:$F$73))</f>
        <v>0</v>
      </c>
      <c r="E45" s="2" cm="1">
        <f t="array" ref="E45">SUMPRODUCT(((GROUP1!$D$2:$D$73=B45)+(GROUP1!$E$2:$E$73=B45))*(GROUP1!$F$2:$F$73=GROUP1!$G$2:$G$73))</f>
        <v>0</v>
      </c>
      <c r="F45" s="2">
        <f t="shared" si="0"/>
        <v>3</v>
      </c>
      <c r="G45" s="2">
        <f>SUMIF(GROUP1!D:D,B45,GROUP1!F:F)+SUMIF(GROUP1!E:E,B45,GROUP1!G:G)</f>
        <v>2</v>
      </c>
      <c r="H45" s="2">
        <f>SUMIF(GROUP1!D:D,B45,GROUP1!G:G)+SUMIF(GROUP1!E:E,B45,GROUP1!F:F)</f>
        <v>11</v>
      </c>
      <c r="I45" s="2">
        <f t="shared" si="1"/>
        <v>-9</v>
      </c>
      <c r="J45" s="2">
        <f t="shared" si="2"/>
        <v>0</v>
      </c>
      <c r="R45"/>
    </row>
    <row r="46" spans="1:18" ht="18" x14ac:dyDescent="0.3">
      <c r="A46" s="2" t="s">
        <v>4</v>
      </c>
      <c r="B46" s="2" t="s">
        <v>89</v>
      </c>
      <c r="C46" s="2">
        <f>COUNTIF(GROUP1!D:D,B46)+COUNTIF(GROUP1!E:E,B46)</f>
        <v>3</v>
      </c>
      <c r="D46" s="2" cm="1">
        <f t="array" ref="D46">SUMPRODUCT((GROUP1!$D$2:$D$73=B46)*(GROUP1!$F$2:$F$73&gt;GROUP1!$G$2:$G$73))+SUMPRODUCT((GROUP1!$E$2:$E$73=B46)*(GROUP1!$G$2:$G$73&gt;GROUP1!$F$2:$F$73))</f>
        <v>2</v>
      </c>
      <c r="E46" s="2" cm="1">
        <f t="array" ref="E46">SUMPRODUCT(((GROUP1!$D$2:$D$73=B46)+(GROUP1!$E$2:$E$73=B46))*(GROUP1!$F$2:$F$73=GROUP1!$G$2:$G$73))</f>
        <v>1</v>
      </c>
      <c r="F46" s="2">
        <f t="shared" si="0"/>
        <v>0</v>
      </c>
      <c r="G46" s="2">
        <f>SUMIF(GROUP1!D:D,B46,GROUP1!F:F)+SUMIF(GROUP1!E:E,B46,GROUP1!G:G)</f>
        <v>6</v>
      </c>
      <c r="H46" s="2">
        <f>SUMIF(GROUP1!D:D,B46,GROUP1!G:G)+SUMIF(GROUP1!E:E,B46,GROUP1!F:F)</f>
        <v>2</v>
      </c>
      <c r="I46" s="2">
        <f t="shared" si="1"/>
        <v>4</v>
      </c>
      <c r="J46" s="2">
        <f t="shared" si="2"/>
        <v>7</v>
      </c>
      <c r="R46"/>
    </row>
    <row r="47" spans="1:18" ht="18" x14ac:dyDescent="0.3">
      <c r="A47" s="2" t="s">
        <v>4</v>
      </c>
      <c r="B47" s="2" t="s">
        <v>90</v>
      </c>
      <c r="C47" s="2">
        <f>COUNTIF(GROUP1!D:D,B47)+COUNTIF(GROUP1!E:E,B47)</f>
        <v>3</v>
      </c>
      <c r="D47" s="2" cm="1">
        <f t="array" ref="D47">SUMPRODUCT((GROUP1!$D$2:$D$73=B47)*(GROUP1!$F$2:$F$73&gt;GROUP1!$G$2:$G$73))+SUMPRODUCT((GROUP1!$E$2:$E$73=B47)*(GROUP1!$G$2:$G$73&gt;GROUP1!$F$2:$F$73))</f>
        <v>2</v>
      </c>
      <c r="E47" s="2" cm="1">
        <f t="array" ref="E47">SUMPRODUCT(((GROUP1!$D$2:$D$73=B47)+(GROUP1!$E$2:$E$73=B47))*(GROUP1!$F$2:$F$73=GROUP1!$G$2:$G$73))</f>
        <v>0</v>
      </c>
      <c r="F47" s="2">
        <f t="shared" si="0"/>
        <v>1</v>
      </c>
      <c r="G47" s="2">
        <f>SUMIF(GROUP1!D:D,B47,GROUP1!F:F)+SUMIF(GROUP1!E:E,B47,GROUP1!G:G)</f>
        <v>5</v>
      </c>
      <c r="H47" s="2">
        <f>SUMIF(GROUP1!D:D,B47,GROUP1!G:G)+SUMIF(GROUP1!E:E,B47,GROUP1!F:F)</f>
        <v>5</v>
      </c>
      <c r="I47" s="2">
        <f t="shared" si="1"/>
        <v>0</v>
      </c>
      <c r="J47" s="2">
        <f t="shared" si="2"/>
        <v>6</v>
      </c>
      <c r="R47"/>
    </row>
    <row r="48" spans="1:18" ht="18" x14ac:dyDescent="0.3">
      <c r="A48" s="2" t="s">
        <v>4</v>
      </c>
      <c r="B48" s="2" t="s">
        <v>91</v>
      </c>
      <c r="C48" s="2">
        <f>COUNTIF(GROUP1!D:D,B48)+COUNTIF(GROUP1!E:E,B48)</f>
        <v>3</v>
      </c>
      <c r="D48" s="2" cm="1">
        <f t="array" ref="D48">SUMPRODUCT((GROUP1!$D$2:$D$73=B48)*(GROUP1!$F$2:$F$73&gt;GROUP1!$G$2:$G$73))+SUMPRODUCT((GROUP1!$E$2:$E$73=B48)*(GROUP1!$G$2:$G$73&gt;GROUP1!$F$2:$F$73))</f>
        <v>1</v>
      </c>
      <c r="E48" s="2" cm="1">
        <f t="array" ref="E48">SUMPRODUCT(((GROUP1!$D$2:$D$73=B48)+(GROUP1!$E$2:$E$73=B48))*(GROUP1!$F$2:$F$73=GROUP1!$G$2:$G$73))</f>
        <v>1</v>
      </c>
      <c r="F48" s="2">
        <f t="shared" si="0"/>
        <v>1</v>
      </c>
      <c r="G48" s="2">
        <f>SUMIF(GROUP1!D:D,B48,GROUP1!F:F)+SUMIF(GROUP1!E:E,B48,GROUP1!G:G)</f>
        <v>2</v>
      </c>
      <c r="H48" s="2">
        <f>SUMIF(GROUP1!D:D,B48,GROUP1!G:G)+SUMIF(GROUP1!E:E,B48,GROUP1!F:F)</f>
        <v>2</v>
      </c>
      <c r="I48" s="2">
        <f t="shared" si="1"/>
        <v>0</v>
      </c>
      <c r="J48" s="2">
        <f t="shared" si="2"/>
        <v>4</v>
      </c>
      <c r="R48"/>
    </row>
    <row r="49" spans="1:18" ht="18" x14ac:dyDescent="0.3">
      <c r="A49" s="2" t="s">
        <v>4</v>
      </c>
      <c r="B49" s="2" t="s">
        <v>92</v>
      </c>
      <c r="C49" s="2">
        <f>COUNTIF(GROUP1!D:D,B49)+COUNTIF(GROUP1!E:E,B49)</f>
        <v>3</v>
      </c>
      <c r="D49" s="2" cm="1">
        <f t="array" ref="D49">SUMPRODUCT((GROUP1!$D$2:$D$73=B49)*(GROUP1!$F$2:$F$73&gt;GROUP1!$G$2:$G$73))+SUMPRODUCT((GROUP1!$E$2:$E$73=B49)*(GROUP1!$G$2:$G$73&gt;GROUP1!$F$2:$F$73))</f>
        <v>0</v>
      </c>
      <c r="E49" s="2" cm="1">
        <f t="array" ref="E49">SUMPRODUCT(((GROUP1!$D$2:$D$73=B49)+(GROUP1!$E$2:$E$73=B49))*(GROUP1!$F$2:$F$73=GROUP1!$G$2:$G$73))</f>
        <v>0</v>
      </c>
      <c r="F49" s="2">
        <f t="shared" si="0"/>
        <v>3</v>
      </c>
      <c r="G49" s="2">
        <f>SUMIF(GROUP1!D:D,B49,GROUP1!F:F)+SUMIF(GROUP1!E:E,B49,GROUP1!G:G)</f>
        <v>0</v>
      </c>
      <c r="H49" s="2">
        <f>SUMIF(GROUP1!D:D,B49,GROUP1!G:G)+SUMIF(GROUP1!E:E,B49,GROUP1!F:F)</f>
        <v>4</v>
      </c>
      <c r="I49" s="2">
        <f t="shared" si="1"/>
        <v>-4</v>
      </c>
      <c r="J49" s="2">
        <f t="shared" si="2"/>
        <v>0</v>
      </c>
      <c r="R49"/>
    </row>
    <row r="50" spans="1:18" x14ac:dyDescent="0.3">
      <c r="R50"/>
    </row>
    <row r="51" spans="1:18" x14ac:dyDescent="0.3">
      <c r="R51"/>
    </row>
    <row r="52" spans="1:18" x14ac:dyDescent="0.3">
      <c r="R52"/>
    </row>
    <row r="53" spans="1:18" x14ac:dyDescent="0.3">
      <c r="R53"/>
    </row>
    <row r="54" spans="1:18" x14ac:dyDescent="0.3">
      <c r="R54"/>
    </row>
    <row r="55" spans="1:18" x14ac:dyDescent="0.3">
      <c r="R55"/>
    </row>
    <row r="56" spans="1:18" x14ac:dyDescent="0.3">
      <c r="R56"/>
    </row>
    <row r="57" spans="1:18" x14ac:dyDescent="0.3">
      <c r="R57"/>
    </row>
    <row r="58" spans="1:18" x14ac:dyDescent="0.3">
      <c r="R58"/>
    </row>
    <row r="59" spans="1:18" x14ac:dyDescent="0.3">
      <c r="R59"/>
    </row>
    <row r="60" spans="1:18" x14ac:dyDescent="0.3">
      <c r="R60"/>
    </row>
    <row r="61" spans="1:18" x14ac:dyDescent="0.3">
      <c r="R61"/>
    </row>
    <row r="62" spans="1:18" x14ac:dyDescent="0.3">
      <c r="R62"/>
    </row>
    <row r="63" spans="1:18" x14ac:dyDescent="0.3">
      <c r="R63"/>
    </row>
    <row r="64" spans="1:18" x14ac:dyDescent="0.3">
      <c r="R64"/>
    </row>
    <row r="65" spans="18:18" x14ac:dyDescent="0.3">
      <c r="R65"/>
    </row>
    <row r="66" spans="18:18" x14ac:dyDescent="0.3">
      <c r="R66"/>
    </row>
    <row r="67" spans="18:18" x14ac:dyDescent="0.3">
      <c r="R6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GROUP1</vt:lpstr>
      <vt:lpstr>Round 32</vt:lpstr>
      <vt:lpstr>FIFA-2026 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Hussain, Sara</dc:creator>
  <cp:lastModifiedBy>Hussain, Sara</cp:lastModifiedBy>
  <dcterms:created xsi:type="dcterms:W3CDTF">2026-06-27T03:41:39Z</dcterms:created>
  <dcterms:modified xsi:type="dcterms:W3CDTF">2026-08-23T19:19:32Z</dcterms:modified>
</cp:coreProperties>
</file>